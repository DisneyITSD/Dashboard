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74" documentId="11_94451ABCA0A2D337C40D543FD3FF15B293680652" xr6:coauthVersionLast="47" xr6:coauthVersionMax="47" xr10:uidLastSave="{58DDD342-DCDC-4801-B419-72FACBD4102B}"/>
  <bookViews>
    <workbookView xWindow="-108" yWindow="-108" windowWidth="23256" windowHeight="13896" activeTab="3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EST!$A$1:$O$61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2" i="2" l="1"/>
  <c r="P62" i="4"/>
  <c r="A62" i="4"/>
  <c r="B62" i="4"/>
  <c r="I62" i="4" s="1"/>
  <c r="C62" i="4"/>
  <c r="D62" i="4"/>
  <c r="E62" i="4"/>
  <c r="F62" i="4"/>
  <c r="G62" i="4"/>
  <c r="H62" i="4"/>
  <c r="J62" i="4"/>
  <c r="K62" i="4"/>
  <c r="L62" i="4"/>
  <c r="M62" i="4"/>
  <c r="N62" i="4"/>
  <c r="A63" i="4"/>
  <c r="B63" i="4"/>
  <c r="I63" i="4" s="1"/>
  <c r="C63" i="4"/>
  <c r="D63" i="4"/>
  <c r="E63" i="4"/>
  <c r="F63" i="4"/>
  <c r="G63" i="4"/>
  <c r="H63" i="4"/>
  <c r="J63" i="4"/>
  <c r="K63" i="4"/>
  <c r="L63" i="4"/>
  <c r="M63" i="4"/>
  <c r="N63" i="4"/>
  <c r="P63" i="4"/>
  <c r="P63" i="1"/>
  <c r="P62" i="1"/>
  <c r="D14" i="2" l="1"/>
  <c r="D26" i="2"/>
  <c r="D31" i="2"/>
  <c r="D34" i="2"/>
  <c r="D37" i="2"/>
  <c r="D32" i="2"/>
  <c r="D35" i="2"/>
  <c r="D38" i="2"/>
  <c r="D39" i="2"/>
  <c r="D2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<sst xmlns="http://schemas.openxmlformats.org/spreadsheetml/2006/main" count="875" uniqueCount="144">
  <si>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</si>
  <si>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</si>
  <si>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</si>
  <si>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</si>
  <si>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</si>
  <si>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</si>
  <si>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</si>
  <si>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</si>
  <si>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</si>
  <si>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</si>
  <si>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</si>
  <si>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</si>
  <si>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</si>
  <si>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</si>
  <si>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</si>
  <si>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</si>
  <si>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</si>
  <si>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</si>
  <si>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</si>
  <si>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</si>
  <si>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</si>
  <si>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</si>
  <si>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</si>
  <si>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</si>
  <si>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</si>
  <si>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</si>
  <si>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</si>
  <si>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</si>
  <si>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</si>
  <si>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</si>
  <si>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</si>
  <si>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</si>
  <si>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</si>
  <si>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</si>
  <si>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</si>
  <si>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</si>
  <si>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</si>
  <si>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</si>
  <si>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</si>
  <si>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</si>
  <si>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</si>
  <si>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</si>
  <si>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</si>
  <si>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</si>
  <si>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</si>
  <si>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</si>
  <si>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</si>
  <si>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</si>
  <si>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</si>
  <si>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</si>
  <si>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</si>
  <si>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</si>
  <si>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</si>
  <si>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</si>
  <si>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</si>
  <si>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</si>
  <si>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</si>
  <si>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</si>
  <si>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</si>
  <si>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</si>
  <si>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</si>
  <si>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</si>
  <si>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</si>
  <si>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</si>
  <si>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</si>
  <si>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</si>
  <si>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</si>
  <si>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</si>
  <si>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PADRILLO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</si>
  <si>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</si>
  <si>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</si>
  <si>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</si>
  <si>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</si>
  <si>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</si>
  <si>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</si>
  <si>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</si>
  <si>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</si>
  <si>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</si>
  <si>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</si>
  <si>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</si>
  <si>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</si>
  <si>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</si>
  <si>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</si>
  <si>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</si>
  <si>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</si>
  <si>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</si>
  <si>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</si>
  <si>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</si>
  <si>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</si>
  <si>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</si>
  <si>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</si>
  <si>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</si>
  <si>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</si>
  <si>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</si>
  <si>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</si>
  <si>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</si>
  <si>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</si>
  <si>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</si>
  <si>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</si>
  <si>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</si>
  <si>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</si>
  <si>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</si>
  <si>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</si>
  <si>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</si>
  <si>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</si>
  <si>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</si>
  <si>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</si>
  <si>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</si>
  <si>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MARK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</si>
  <si>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</si>
  <si>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</si>
  <si>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</si>
  <si>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</si>
  <si>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</si>
  <si>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</si>
  <si>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</si>
  <si>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</si>
  <si>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</si>
  <si>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</si>
  <si>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</si>
  <si>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</si>
  <si>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</si>
  <si>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PH SHIFT</t>
  </si>
  <si>
    <t>OFFSET</t>
  </si>
  <si>
    <t>19:30 - 06:30</t>
  </si>
  <si>
    <t>15:00 - 02:00</t>
  </si>
  <si>
    <t>16:00 - 03:00</t>
  </si>
  <si>
    <t>14:00 - 01:00</t>
  </si>
  <si>
    <t>00:00 - 11:00</t>
  </si>
  <si>
    <t>06:30 - 17:30</t>
  </si>
  <si>
    <t>19:00 - 06:00</t>
  </si>
  <si>
    <t>EST Date</t>
  </si>
  <si>
    <t>Reason</t>
  </si>
  <si>
    <t>Called Off</t>
  </si>
  <si>
    <t>Running Late (No ETA)</t>
  </si>
  <si>
    <t>Running Late (ETA : 17:00)</t>
  </si>
  <si>
    <t>Left Early</t>
  </si>
  <si>
    <t>FRANCE BAJAO</t>
  </si>
  <si>
    <t>Mon - Tue - Sun</t>
  </si>
  <si>
    <t>CRISMA VIC MELECIO</t>
  </si>
  <si>
    <t>JOANAH CARL ANOLING</t>
  </si>
  <si>
    <t>MARY ANGELIE FAJARDO</t>
  </si>
  <si>
    <t>Maternity Leave</t>
  </si>
  <si>
    <t>Vacation 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</si>
</sst>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2" fillId="8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20" fontId="2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0" borderId="0" xfId="0" applyFont="1"/>
    <xf numFmtId="0" fontId="7" fillId="7" borderId="0" xfId="0" applyFont="1" applyFill="1"/>
    <xf numFmtId="0" fontId="0" fillId="0" borderId="7" xfId="0" applyBorder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Q63"/>
  <sheetViews>
    <sheetView zoomScaleNormal="100" workbookViewId="0">
      <pane ySplit="1" topLeftCell="A37" activePane="bottomLeft" state="frozen"/>
      <selection pane="bottomLeft" activeCell="A55" sqref="A55:XFD55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 t="shared" ref="P2:P33" si="0"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si="0"/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6" customFormat="1" x14ac:dyDescent="0.3">
      <c r="A7" s="31" t="s">
        <v>34</v>
      </c>
      <c r="B7" s="32" t="s">
        <v>35</v>
      </c>
      <c r="C7" s="32" t="s">
        <v>35</v>
      </c>
      <c r="D7" s="32" t="s">
        <v>17</v>
      </c>
      <c r="E7" s="32" t="s">
        <v>17</v>
      </c>
      <c r="F7" s="32" t="s">
        <v>35</v>
      </c>
      <c r="G7" s="32" t="s">
        <v>35</v>
      </c>
      <c r="H7" s="32" t="s">
        <v>17</v>
      </c>
      <c r="I7" s="33" t="s">
        <v>36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37</v>
      </c>
      <c r="O7" s="32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10" t="s">
        <v>50</v>
      </c>
      <c r="B14" s="1" t="s">
        <v>17</v>
      </c>
      <c r="C14" s="1" t="s">
        <v>51</v>
      </c>
      <c r="D14" s="1" t="s">
        <v>51</v>
      </c>
      <c r="E14" s="1" t="s">
        <v>51</v>
      </c>
      <c r="F14" s="1" t="s">
        <v>51</v>
      </c>
      <c r="G14" s="1" t="s">
        <v>17</v>
      </c>
      <c r="H14" s="1" t="s">
        <v>17</v>
      </c>
      <c r="I14" s="2" t="s">
        <v>29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26</v>
      </c>
      <c r="O14" s="1" t="s">
        <v>51</v>
      </c>
      <c r="P14">
        <f t="shared" si="0"/>
        <v>0</v>
      </c>
    </row>
    <row r="15" spans="1:16" x14ac:dyDescent="0.3">
      <c r="A15" s="16" t="s">
        <v>52</v>
      </c>
      <c r="B15" s="17" t="s">
        <v>24</v>
      </c>
      <c r="C15" s="17" t="s">
        <v>17</v>
      </c>
      <c r="D15" s="17" t="s">
        <v>17</v>
      </c>
      <c r="E15" s="17" t="s">
        <v>17</v>
      </c>
      <c r="F15" s="17" t="s">
        <v>24</v>
      </c>
      <c r="G15" s="17" t="s">
        <v>24</v>
      </c>
      <c r="H15" s="17" t="s">
        <v>24</v>
      </c>
      <c r="I15" s="18" t="s">
        <v>40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26</v>
      </c>
      <c r="O15" s="17" t="s">
        <v>24</v>
      </c>
      <c r="P15">
        <f t="shared" si="0"/>
        <v>0</v>
      </c>
    </row>
    <row r="16" spans="1:16" x14ac:dyDescent="0.3">
      <c r="A16" s="11" t="s">
        <v>53</v>
      </c>
      <c r="B16" s="5" t="s">
        <v>54</v>
      </c>
      <c r="C16" s="5" t="s">
        <v>54</v>
      </c>
      <c r="D16" s="5" t="s">
        <v>54</v>
      </c>
      <c r="E16" s="5" t="s">
        <v>54</v>
      </c>
      <c r="F16" s="5" t="s">
        <v>17</v>
      </c>
      <c r="G16" s="5" t="s">
        <v>17</v>
      </c>
      <c r="H16" s="5" t="s">
        <v>17</v>
      </c>
      <c r="I16" s="6" t="s">
        <v>29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37</v>
      </c>
      <c r="O16" s="5" t="s">
        <v>54</v>
      </c>
      <c r="P16">
        <f t="shared" si="0"/>
        <v>0</v>
      </c>
    </row>
    <row r="17" spans="1:16" x14ac:dyDescent="0.3">
      <c r="A17" s="11" t="s">
        <v>55</v>
      </c>
      <c r="B17" s="5" t="s">
        <v>35</v>
      </c>
      <c r="C17" s="5" t="s">
        <v>35</v>
      </c>
      <c r="D17" s="5" t="s">
        <v>35</v>
      </c>
      <c r="E17" s="5" t="s">
        <v>17</v>
      </c>
      <c r="F17" s="5" t="s">
        <v>35</v>
      </c>
      <c r="G17" s="5" t="s">
        <v>17</v>
      </c>
      <c r="H17" s="5" t="s">
        <v>17</v>
      </c>
      <c r="I17" s="6" t="s">
        <v>25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37</v>
      </c>
      <c r="O17" s="5" t="s">
        <v>35</v>
      </c>
      <c r="P17">
        <f t="shared" si="0"/>
        <v>0</v>
      </c>
    </row>
    <row r="18" spans="1:16" x14ac:dyDescent="0.3">
      <c r="A18" s="11" t="s">
        <v>56</v>
      </c>
      <c r="B18" s="5" t="s">
        <v>35</v>
      </c>
      <c r="C18" s="5" t="s">
        <v>35</v>
      </c>
      <c r="D18" s="5" t="s">
        <v>17</v>
      </c>
      <c r="E18" s="5" t="s">
        <v>35</v>
      </c>
      <c r="F18" s="5" t="s">
        <v>35</v>
      </c>
      <c r="G18" s="5" t="s">
        <v>17</v>
      </c>
      <c r="H18" s="5" t="s">
        <v>17</v>
      </c>
      <c r="I18" s="6" t="s">
        <v>46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57</v>
      </c>
      <c r="B19" s="5" t="s">
        <v>24</v>
      </c>
      <c r="C19" s="5" t="s">
        <v>24</v>
      </c>
      <c r="D19" s="5" t="s">
        <v>17</v>
      </c>
      <c r="E19" s="5" t="s">
        <v>24</v>
      </c>
      <c r="F19" s="5" t="s">
        <v>24</v>
      </c>
      <c r="G19" s="5" t="s">
        <v>17</v>
      </c>
      <c r="H19" s="5" t="s">
        <v>17</v>
      </c>
      <c r="I19" s="6" t="s">
        <v>46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33</v>
      </c>
      <c r="O19" s="5" t="s">
        <v>24</v>
      </c>
      <c r="P19">
        <f t="shared" si="0"/>
        <v>0</v>
      </c>
    </row>
    <row r="20" spans="1:16" x14ac:dyDescent="0.3">
      <c r="A20" s="16" t="s">
        <v>137</v>
      </c>
      <c r="B20" s="17" t="s">
        <v>58</v>
      </c>
      <c r="C20" s="17" t="s">
        <v>58</v>
      </c>
      <c r="D20" s="17" t="s">
        <v>17</v>
      </c>
      <c r="E20" s="17" t="s">
        <v>17</v>
      </c>
      <c r="F20" s="17" t="s">
        <v>58</v>
      </c>
      <c r="G20" s="17" t="s">
        <v>17</v>
      </c>
      <c r="H20" s="17" t="s">
        <v>58</v>
      </c>
      <c r="I20" s="18" t="s">
        <v>59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41</v>
      </c>
      <c r="O20" s="17" t="s">
        <v>58</v>
      </c>
      <c r="P20">
        <f t="shared" si="0"/>
        <v>1</v>
      </c>
    </row>
    <row r="21" spans="1:16" x14ac:dyDescent="0.3">
      <c r="A21" s="10" t="s">
        <v>60</v>
      </c>
      <c r="B21" s="1" t="s">
        <v>61</v>
      </c>
      <c r="C21" s="1" t="s">
        <v>61</v>
      </c>
      <c r="D21" s="1" t="s">
        <v>61</v>
      </c>
      <c r="E21" s="1" t="s">
        <v>61</v>
      </c>
      <c r="F21" s="1" t="s">
        <v>17</v>
      </c>
      <c r="G21" s="1" t="s">
        <v>17</v>
      </c>
      <c r="H21" s="1" t="s">
        <v>17</v>
      </c>
      <c r="I21" s="2" t="s">
        <v>29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19</v>
      </c>
      <c r="O21" s="1" t="s">
        <v>61</v>
      </c>
      <c r="P21">
        <f t="shared" si="0"/>
        <v>0</v>
      </c>
    </row>
    <row r="22" spans="1:16" x14ac:dyDescent="0.3">
      <c r="A22" s="16" t="s">
        <v>62</v>
      </c>
      <c r="B22" s="17" t="s">
        <v>63</v>
      </c>
      <c r="C22" s="17" t="s">
        <v>63</v>
      </c>
      <c r="D22" s="17" t="s">
        <v>63</v>
      </c>
      <c r="E22" s="17" t="s">
        <v>17</v>
      </c>
      <c r="F22" s="17" t="s">
        <v>17</v>
      </c>
      <c r="G22" s="17" t="s">
        <v>17</v>
      </c>
      <c r="H22" s="17" t="s">
        <v>63</v>
      </c>
      <c r="I22" s="17" t="s">
        <v>22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41</v>
      </c>
      <c r="O22" s="17" t="s">
        <v>63</v>
      </c>
      <c r="P22">
        <f t="shared" si="0"/>
        <v>0</v>
      </c>
    </row>
    <row r="23" spans="1:16" x14ac:dyDescent="0.3">
      <c r="A23" s="11" t="s">
        <v>64</v>
      </c>
      <c r="B23" s="5" t="s">
        <v>65</v>
      </c>
      <c r="C23" s="5" t="s">
        <v>65</v>
      </c>
      <c r="D23" s="5" t="s">
        <v>65</v>
      </c>
      <c r="E23" s="5" t="s">
        <v>65</v>
      </c>
      <c r="F23" s="5" t="s">
        <v>17</v>
      </c>
      <c r="G23" s="5" t="s">
        <v>17</v>
      </c>
      <c r="H23" s="5" t="s">
        <v>17</v>
      </c>
      <c r="I23" s="6" t="s">
        <v>29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33</v>
      </c>
      <c r="O23" s="5" t="s">
        <v>65</v>
      </c>
      <c r="P23">
        <f t="shared" si="0"/>
        <v>0</v>
      </c>
    </row>
    <row r="24" spans="1:16" x14ac:dyDescent="0.3">
      <c r="A24" s="11" t="s">
        <v>66</v>
      </c>
      <c r="B24" s="5" t="s">
        <v>24</v>
      </c>
      <c r="C24" s="5" t="s">
        <v>24</v>
      </c>
      <c r="D24" s="5" t="s">
        <v>17</v>
      </c>
      <c r="E24" s="5" t="s">
        <v>24</v>
      </c>
      <c r="F24" s="5" t="s">
        <v>24</v>
      </c>
      <c r="G24" s="5" t="s">
        <v>17</v>
      </c>
      <c r="H24" s="5" t="s">
        <v>17</v>
      </c>
      <c r="I24" s="6" t="s">
        <v>46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19</v>
      </c>
      <c r="O24" s="5" t="s">
        <v>24</v>
      </c>
      <c r="P24">
        <f t="shared" si="0"/>
        <v>0</v>
      </c>
    </row>
    <row r="25" spans="1:16" x14ac:dyDescent="0.3">
      <c r="A25" s="10" t="s">
        <v>67</v>
      </c>
      <c r="B25" s="1" t="s">
        <v>54</v>
      </c>
      <c r="C25" s="1" t="s">
        <v>54</v>
      </c>
      <c r="D25" s="1" t="s">
        <v>54</v>
      </c>
      <c r="E25" s="1" t="s">
        <v>54</v>
      </c>
      <c r="F25" s="1" t="s">
        <v>17</v>
      </c>
      <c r="G25" s="1" t="s">
        <v>17</v>
      </c>
      <c r="H25" s="1" t="s">
        <v>17</v>
      </c>
      <c r="I25" s="2" t="s">
        <v>29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19</v>
      </c>
      <c r="O25" s="1" t="s">
        <v>54</v>
      </c>
      <c r="P25">
        <f t="shared" si="0"/>
        <v>0</v>
      </c>
    </row>
    <row r="26" spans="1:16" x14ac:dyDescent="0.3">
      <c r="A26" s="16" t="s">
        <v>68</v>
      </c>
      <c r="B26" s="17" t="s">
        <v>69</v>
      </c>
      <c r="C26" s="17" t="s">
        <v>69</v>
      </c>
      <c r="D26" s="17" t="s">
        <v>69</v>
      </c>
      <c r="E26" s="17" t="s">
        <v>17</v>
      </c>
      <c r="F26" s="17" t="s">
        <v>17</v>
      </c>
      <c r="G26" s="17" t="s">
        <v>17</v>
      </c>
      <c r="H26" s="17" t="s">
        <v>69</v>
      </c>
      <c r="I26" s="18" t="s">
        <v>22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41</v>
      </c>
      <c r="O26" s="17" t="s">
        <v>69</v>
      </c>
      <c r="P26">
        <f t="shared" si="0"/>
        <v>0</v>
      </c>
    </row>
    <row r="27" spans="1:16" x14ac:dyDescent="0.3">
      <c r="A27" s="11" t="s">
        <v>70</v>
      </c>
      <c r="B27" s="13" t="s">
        <v>71</v>
      </c>
      <c r="C27" s="13" t="s">
        <v>71</v>
      </c>
      <c r="D27" s="5" t="s">
        <v>17</v>
      </c>
      <c r="E27" s="13" t="s">
        <v>71</v>
      </c>
      <c r="F27" s="13" t="s">
        <v>71</v>
      </c>
      <c r="G27" s="5" t="s">
        <v>17</v>
      </c>
      <c r="H27" s="5" t="s">
        <v>17</v>
      </c>
      <c r="I27" s="6" t="s">
        <v>46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26</v>
      </c>
      <c r="O27" s="13" t="s">
        <v>71</v>
      </c>
      <c r="P27">
        <f t="shared" si="0"/>
        <v>1</v>
      </c>
    </row>
    <row r="28" spans="1:16" x14ac:dyDescent="0.3">
      <c r="A28" s="11" t="s">
        <v>72</v>
      </c>
      <c r="B28" s="5" t="s">
        <v>24</v>
      </c>
      <c r="C28" s="5" t="s">
        <v>17</v>
      </c>
      <c r="D28" s="5" t="s">
        <v>24</v>
      </c>
      <c r="E28" s="5" t="s">
        <v>24</v>
      </c>
      <c r="F28" s="5" t="s">
        <v>24</v>
      </c>
      <c r="G28" s="5" t="s">
        <v>17</v>
      </c>
      <c r="H28" s="5" t="s">
        <v>17</v>
      </c>
      <c r="I28" s="6" t="s">
        <v>43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26</v>
      </c>
      <c r="O28" s="5" t="s">
        <v>24</v>
      </c>
      <c r="P28">
        <f t="shared" si="0"/>
        <v>0</v>
      </c>
    </row>
    <row r="29" spans="1:16" x14ac:dyDescent="0.3">
      <c r="A29" s="16" t="s">
        <v>73</v>
      </c>
      <c r="B29" s="17" t="s">
        <v>17</v>
      </c>
      <c r="C29" s="17" t="s">
        <v>17</v>
      </c>
      <c r="D29" s="17" t="s">
        <v>74</v>
      </c>
      <c r="E29" s="17" t="s">
        <v>74</v>
      </c>
      <c r="F29" s="17" t="s">
        <v>74</v>
      </c>
      <c r="G29" s="17" t="s">
        <v>74</v>
      </c>
      <c r="H29" s="17" t="s">
        <v>17</v>
      </c>
      <c r="I29" s="18" t="s">
        <v>36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26</v>
      </c>
      <c r="O29" s="17" t="s">
        <v>74</v>
      </c>
      <c r="P29">
        <f t="shared" si="0"/>
        <v>1</v>
      </c>
    </row>
    <row r="30" spans="1:16" x14ac:dyDescent="0.3">
      <c r="A30" s="10" t="s">
        <v>75</v>
      </c>
      <c r="B30" s="1" t="s">
        <v>17</v>
      </c>
      <c r="C30" s="1" t="s">
        <v>63</v>
      </c>
      <c r="D30" s="1" t="s">
        <v>63</v>
      </c>
      <c r="E30" s="1" t="s">
        <v>63</v>
      </c>
      <c r="F30" s="1" t="s">
        <v>63</v>
      </c>
      <c r="G30" s="1" t="s">
        <v>17</v>
      </c>
      <c r="H30" s="1" t="s">
        <v>17</v>
      </c>
      <c r="I30" s="2" t="s">
        <v>48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26</v>
      </c>
      <c r="O30" s="1" t="s">
        <v>63</v>
      </c>
      <c r="P30">
        <f t="shared" si="0"/>
        <v>0</v>
      </c>
    </row>
    <row r="31" spans="1:16" x14ac:dyDescent="0.3">
      <c r="A31" s="16" t="s">
        <v>76</v>
      </c>
      <c r="B31" s="17" t="s">
        <v>77</v>
      </c>
      <c r="C31" s="17" t="s">
        <v>77</v>
      </c>
      <c r="D31" s="17" t="s">
        <v>17</v>
      </c>
      <c r="E31" s="17" t="s">
        <v>17</v>
      </c>
      <c r="F31" s="17" t="s">
        <v>17</v>
      </c>
      <c r="G31" s="17" t="s">
        <v>77</v>
      </c>
      <c r="H31" s="17" t="s">
        <v>77</v>
      </c>
      <c r="I31" s="18" t="s">
        <v>78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37</v>
      </c>
      <c r="O31" s="17" t="s">
        <v>77</v>
      </c>
      <c r="P31">
        <f t="shared" si="0"/>
        <v>1</v>
      </c>
    </row>
    <row r="32" spans="1:16" x14ac:dyDescent="0.3">
      <c r="A32" s="16" t="s">
        <v>79</v>
      </c>
      <c r="B32" s="17" t="s">
        <v>61</v>
      </c>
      <c r="C32" s="17" t="s">
        <v>61</v>
      </c>
      <c r="D32" s="17" t="s">
        <v>61</v>
      </c>
      <c r="E32" s="17" t="s">
        <v>61</v>
      </c>
      <c r="F32" s="17" t="s">
        <v>17</v>
      </c>
      <c r="G32" s="17" t="s">
        <v>17</v>
      </c>
      <c r="H32" s="17" t="s">
        <v>17</v>
      </c>
      <c r="I32" s="18" t="s">
        <v>29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19</v>
      </c>
      <c r="O32" s="17" t="s">
        <v>61</v>
      </c>
      <c r="P32">
        <f t="shared" si="0"/>
        <v>0</v>
      </c>
    </row>
    <row r="33" spans="1:16" x14ac:dyDescent="0.3">
      <c r="A33" s="11" t="s">
        <v>80</v>
      </c>
      <c r="B33" s="5" t="s">
        <v>81</v>
      </c>
      <c r="C33" s="5" t="s">
        <v>17</v>
      </c>
      <c r="D33" s="5" t="s">
        <v>17</v>
      </c>
      <c r="E33" s="5" t="s">
        <v>81</v>
      </c>
      <c r="F33" s="5" t="s">
        <v>81</v>
      </c>
      <c r="G33" s="5" t="s">
        <v>17</v>
      </c>
      <c r="H33" s="5" t="s">
        <v>81</v>
      </c>
      <c r="I33" s="6" t="s">
        <v>82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19</v>
      </c>
      <c r="O33" s="5" t="s">
        <v>81</v>
      </c>
      <c r="P33">
        <f t="shared" si="0"/>
        <v>1</v>
      </c>
    </row>
    <row r="34" spans="1:16" x14ac:dyDescent="0.3">
      <c r="A34" s="16" t="s">
        <v>83</v>
      </c>
      <c r="B34" s="17" t="s">
        <v>21</v>
      </c>
      <c r="C34" s="17" t="s">
        <v>21</v>
      </c>
      <c r="D34" s="17" t="s">
        <v>21</v>
      </c>
      <c r="E34" s="17" t="s">
        <v>21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26</v>
      </c>
      <c r="O34" s="17" t="s">
        <v>21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84</v>
      </c>
      <c r="B35" s="32" t="s">
        <v>17</v>
      </c>
      <c r="C35" s="37" t="s">
        <v>61</v>
      </c>
      <c r="D35" s="37" t="s">
        <v>61</v>
      </c>
      <c r="E35" s="37" t="s">
        <v>61</v>
      </c>
      <c r="F35" s="37" t="s">
        <v>61</v>
      </c>
      <c r="G35" s="32" t="s">
        <v>17</v>
      </c>
      <c r="H35" s="32" t="s">
        <v>17</v>
      </c>
      <c r="I35" s="33" t="s">
        <v>48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41</v>
      </c>
      <c r="O35" s="37" t="s">
        <v>61</v>
      </c>
      <c r="P35">
        <f t="shared" si="1"/>
        <v>0</v>
      </c>
    </row>
    <row r="36" spans="1:16" x14ac:dyDescent="0.3">
      <c r="A36" s="16" t="s">
        <v>85</v>
      </c>
      <c r="B36" s="17" t="s">
        <v>35</v>
      </c>
      <c r="C36" s="17" t="s">
        <v>35</v>
      </c>
      <c r="D36" s="17" t="s">
        <v>35</v>
      </c>
      <c r="E36" s="17" t="s">
        <v>17</v>
      </c>
      <c r="F36" s="17" t="s">
        <v>35</v>
      </c>
      <c r="G36" s="17" t="s">
        <v>17</v>
      </c>
      <c r="H36" s="17" t="s">
        <v>17</v>
      </c>
      <c r="I36" s="18" t="s">
        <v>25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37</v>
      </c>
      <c r="O36" s="17" t="s">
        <v>35</v>
      </c>
      <c r="P36">
        <f t="shared" si="1"/>
        <v>0</v>
      </c>
    </row>
    <row r="37" spans="1:16" x14ac:dyDescent="0.3">
      <c r="A37" s="11" t="s">
        <v>86</v>
      </c>
      <c r="B37" s="5" t="s">
        <v>24</v>
      </c>
      <c r="C37" s="5" t="s">
        <v>17</v>
      </c>
      <c r="D37" s="5" t="s">
        <v>24</v>
      </c>
      <c r="E37" s="5" t="s">
        <v>24</v>
      </c>
      <c r="F37" s="5" t="s">
        <v>24</v>
      </c>
      <c r="G37" s="5" t="s">
        <v>17</v>
      </c>
      <c r="H37" s="5" t="s">
        <v>17</v>
      </c>
      <c r="I37" s="6" t="s">
        <v>43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19</v>
      </c>
      <c r="O37" s="5" t="s">
        <v>24</v>
      </c>
      <c r="P37">
        <f t="shared" si="1"/>
        <v>0</v>
      </c>
    </row>
    <row r="38" spans="1:16" x14ac:dyDescent="0.3">
      <c r="A38" s="11" t="s">
        <v>87</v>
      </c>
      <c r="B38" s="5" t="s">
        <v>88</v>
      </c>
      <c r="C38" s="5" t="s">
        <v>88</v>
      </c>
      <c r="D38" s="5" t="s">
        <v>88</v>
      </c>
      <c r="E38" s="5" t="s">
        <v>17</v>
      </c>
      <c r="F38" s="5" t="s">
        <v>17</v>
      </c>
      <c r="G38" s="5" t="s">
        <v>88</v>
      </c>
      <c r="H38" s="5" t="s">
        <v>17</v>
      </c>
      <c r="I38" s="6" t="s">
        <v>89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41</v>
      </c>
      <c r="O38" s="5" t="s">
        <v>88</v>
      </c>
      <c r="P38">
        <f t="shared" si="1"/>
        <v>1</v>
      </c>
    </row>
    <row r="39" spans="1:16" x14ac:dyDescent="0.3">
      <c r="A39" s="11" t="s">
        <v>90</v>
      </c>
      <c r="B39" s="5" t="s">
        <v>24</v>
      </c>
      <c r="C39" s="5" t="s">
        <v>24</v>
      </c>
      <c r="D39" s="5" t="s">
        <v>17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46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33</v>
      </c>
      <c r="O39" s="5" t="s">
        <v>24</v>
      </c>
      <c r="P39">
        <f t="shared" si="1"/>
        <v>0</v>
      </c>
    </row>
    <row r="40" spans="1:16" x14ac:dyDescent="0.3">
      <c r="A40" s="16" t="s">
        <v>91</v>
      </c>
      <c r="B40" s="17" t="s">
        <v>17</v>
      </c>
      <c r="C40" s="17" t="s">
        <v>92</v>
      </c>
      <c r="D40" s="17" t="s">
        <v>92</v>
      </c>
      <c r="E40" s="17" t="s">
        <v>92</v>
      </c>
      <c r="F40" s="17" t="s">
        <v>92</v>
      </c>
      <c r="G40" s="17" t="s">
        <v>17</v>
      </c>
      <c r="H40" s="17" t="s">
        <v>17</v>
      </c>
      <c r="I40" s="18" t="s">
        <v>48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26</v>
      </c>
      <c r="O40" s="17" t="s">
        <v>92</v>
      </c>
      <c r="P40">
        <f t="shared" si="1"/>
        <v>1</v>
      </c>
    </row>
    <row r="41" spans="1:16" x14ac:dyDescent="0.3">
      <c r="A41" s="11" t="s">
        <v>93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19</v>
      </c>
      <c r="O41" s="5" t="s">
        <v>24</v>
      </c>
      <c r="P41">
        <f t="shared" si="1"/>
        <v>0</v>
      </c>
    </row>
    <row r="42" spans="1:16" x14ac:dyDescent="0.3">
      <c r="A42" s="11" t="s">
        <v>94</v>
      </c>
      <c r="B42" s="5" t="s">
        <v>35</v>
      </c>
      <c r="C42" s="5" t="s">
        <v>35</v>
      </c>
      <c r="D42" s="5" t="s">
        <v>17</v>
      </c>
      <c r="E42" s="5" t="s">
        <v>35</v>
      </c>
      <c r="F42" s="5" t="s">
        <v>35</v>
      </c>
      <c r="G42" s="5" t="s">
        <v>17</v>
      </c>
      <c r="H42" s="5" t="s">
        <v>17</v>
      </c>
      <c r="I42" s="6" t="s">
        <v>46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33</v>
      </c>
      <c r="O42" s="5" t="s">
        <v>35</v>
      </c>
      <c r="P42">
        <f t="shared" si="1"/>
        <v>0</v>
      </c>
    </row>
    <row r="43" spans="1:16" x14ac:dyDescent="0.3">
      <c r="A43" s="11" t="s">
        <v>95</v>
      </c>
      <c r="B43" s="5" t="s">
        <v>35</v>
      </c>
      <c r="C43" s="5" t="s">
        <v>35</v>
      </c>
      <c r="D43" s="5" t="s">
        <v>35</v>
      </c>
      <c r="E43" s="5" t="s">
        <v>35</v>
      </c>
      <c r="F43" s="5" t="s">
        <v>17</v>
      </c>
      <c r="G43" s="5" t="s">
        <v>17</v>
      </c>
      <c r="H43" s="5" t="s">
        <v>17</v>
      </c>
      <c r="I43" s="6" t="s">
        <v>29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37</v>
      </c>
      <c r="O43" s="5" t="s">
        <v>35</v>
      </c>
      <c r="P43">
        <f t="shared" si="1"/>
        <v>0</v>
      </c>
    </row>
    <row r="44" spans="1:16" x14ac:dyDescent="0.3">
      <c r="A44" s="16" t="s">
        <v>96</v>
      </c>
      <c r="B44" s="17" t="s">
        <v>17</v>
      </c>
      <c r="C44" s="17" t="s">
        <v>17</v>
      </c>
      <c r="D44" s="17" t="s">
        <v>97</v>
      </c>
      <c r="E44" s="17" t="s">
        <v>97</v>
      </c>
      <c r="F44" s="17" t="s">
        <v>97</v>
      </c>
      <c r="G44" s="17" t="s">
        <v>97</v>
      </c>
      <c r="H44" s="17" t="s">
        <v>17</v>
      </c>
      <c r="I44" s="18" t="s">
        <v>98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41</v>
      </c>
      <c r="O44" s="17" t="s">
        <v>97</v>
      </c>
      <c r="P44">
        <f t="shared" si="1"/>
        <v>1</v>
      </c>
    </row>
    <row r="45" spans="1:16" x14ac:dyDescent="0.3">
      <c r="A45" s="10" t="s">
        <v>99</v>
      </c>
      <c r="B45" s="1" t="s">
        <v>35</v>
      </c>
      <c r="C45" s="1" t="s">
        <v>35</v>
      </c>
      <c r="D45" s="1" t="s">
        <v>17</v>
      </c>
      <c r="E45" s="1" t="s">
        <v>35</v>
      </c>
      <c r="F45" s="1" t="s">
        <v>35</v>
      </c>
      <c r="G45" s="1" t="s">
        <v>17</v>
      </c>
      <c r="H45" s="1" t="s">
        <v>17</v>
      </c>
      <c r="I45" s="2" t="s">
        <v>29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19</v>
      </c>
      <c r="O45" s="1" t="s">
        <v>35</v>
      </c>
      <c r="P45">
        <f t="shared" si="1"/>
        <v>0</v>
      </c>
    </row>
    <row r="46" spans="1:16" x14ac:dyDescent="0.3">
      <c r="A46" s="16" t="s">
        <v>100</v>
      </c>
      <c r="B46" s="17" t="s">
        <v>17</v>
      </c>
      <c r="C46" s="17" t="s">
        <v>35</v>
      </c>
      <c r="D46" s="17" t="s">
        <v>35</v>
      </c>
      <c r="E46" s="17" t="s">
        <v>35</v>
      </c>
      <c r="F46" s="17" t="s">
        <v>35</v>
      </c>
      <c r="G46" s="17" t="s">
        <v>17</v>
      </c>
      <c r="H46" s="17" t="s">
        <v>17</v>
      </c>
      <c r="I46" s="18" t="s">
        <v>48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33</v>
      </c>
      <c r="O46" s="17" t="s">
        <v>35</v>
      </c>
      <c r="P46">
        <f t="shared" si="1"/>
        <v>0</v>
      </c>
    </row>
    <row r="47" spans="1:16" x14ac:dyDescent="0.3">
      <c r="A47" s="10" t="s">
        <v>101</v>
      </c>
      <c r="B47" s="1" t="s">
        <v>63</v>
      </c>
      <c r="C47" s="1" t="s">
        <v>63</v>
      </c>
      <c r="D47" s="1" t="s">
        <v>17</v>
      </c>
      <c r="E47" s="1" t="s">
        <v>17</v>
      </c>
      <c r="F47" s="1" t="s">
        <v>17</v>
      </c>
      <c r="G47" s="1" t="s">
        <v>63</v>
      </c>
      <c r="H47" s="1" t="s">
        <v>63</v>
      </c>
      <c r="I47" s="2" t="s">
        <v>18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19</v>
      </c>
      <c r="O47" s="1" t="s">
        <v>63</v>
      </c>
      <c r="P47">
        <f t="shared" si="1"/>
        <v>0</v>
      </c>
    </row>
    <row r="48" spans="1:16" x14ac:dyDescent="0.3">
      <c r="A48" s="16" t="s">
        <v>141</v>
      </c>
      <c r="B48" s="17" t="s">
        <v>17</v>
      </c>
      <c r="C48" s="17" t="s">
        <v>17</v>
      </c>
      <c r="D48" s="17" t="s">
        <v>17</v>
      </c>
      <c r="E48" s="17" t="s">
        <v>31</v>
      </c>
      <c r="F48" s="17" t="s">
        <v>31</v>
      </c>
      <c r="G48" s="17" t="s">
        <v>31</v>
      </c>
      <c r="H48" s="17" t="s">
        <v>31</v>
      </c>
      <c r="I48" s="18" t="s">
        <v>32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41</v>
      </c>
      <c r="O48" s="17" t="s">
        <v>31</v>
      </c>
      <c r="P48">
        <f t="shared" si="1"/>
        <v>1</v>
      </c>
    </row>
    <row r="49" spans="1:17" x14ac:dyDescent="0.3">
      <c r="A49" s="10" t="s">
        <v>102</v>
      </c>
      <c r="B49" s="1" t="s">
        <v>71</v>
      </c>
      <c r="C49" s="1" t="s">
        <v>71</v>
      </c>
      <c r="D49" s="1" t="s">
        <v>71</v>
      </c>
      <c r="E49" s="1" t="s">
        <v>71</v>
      </c>
      <c r="F49" s="1" t="s">
        <v>17</v>
      </c>
      <c r="G49" s="1" t="s">
        <v>17</v>
      </c>
      <c r="H49" s="1" t="s">
        <v>17</v>
      </c>
      <c r="I49" s="2" t="s">
        <v>29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26</v>
      </c>
      <c r="O49" s="1" t="s">
        <v>71</v>
      </c>
      <c r="P49">
        <f t="shared" si="1"/>
        <v>1</v>
      </c>
    </row>
    <row r="50" spans="1:17" x14ac:dyDescent="0.3">
      <c r="A50" s="11" t="s">
        <v>103</v>
      </c>
      <c r="B50" s="5" t="s">
        <v>17</v>
      </c>
      <c r="C50" s="5" t="s">
        <v>17</v>
      </c>
      <c r="D50" s="5" t="s">
        <v>17</v>
      </c>
      <c r="E50" s="5" t="s">
        <v>65</v>
      </c>
      <c r="F50" s="5" t="s">
        <v>65</v>
      </c>
      <c r="G50" s="5" t="s">
        <v>65</v>
      </c>
      <c r="H50" s="5" t="s">
        <v>65</v>
      </c>
      <c r="I50" s="6" t="s">
        <v>104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41</v>
      </c>
      <c r="O50" s="5" t="s">
        <v>65</v>
      </c>
      <c r="P50">
        <f t="shared" si="1"/>
        <v>0</v>
      </c>
    </row>
    <row r="51" spans="1:17" x14ac:dyDescent="0.3">
      <c r="A51" s="10" t="s">
        <v>105</v>
      </c>
      <c r="B51" s="1" t="s">
        <v>35</v>
      </c>
      <c r="C51" s="1" t="s">
        <v>17</v>
      </c>
      <c r="D51" s="1" t="s">
        <v>17</v>
      </c>
      <c r="E51" s="1" t="s">
        <v>17</v>
      </c>
      <c r="F51" s="1" t="s">
        <v>35</v>
      </c>
      <c r="G51" s="1" t="s">
        <v>35</v>
      </c>
      <c r="H51" s="1" t="s">
        <v>35</v>
      </c>
      <c r="I51" s="2" t="s">
        <v>40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41</v>
      </c>
      <c r="O51" s="1" t="s">
        <v>35</v>
      </c>
      <c r="P51">
        <f t="shared" si="1"/>
        <v>0</v>
      </c>
    </row>
    <row r="52" spans="1:17" x14ac:dyDescent="0.3">
      <c r="A52" s="11" t="s">
        <v>106</v>
      </c>
      <c r="B52" s="5" t="s">
        <v>35</v>
      </c>
      <c r="C52" s="5" t="s">
        <v>17</v>
      </c>
      <c r="D52" s="5" t="s">
        <v>17</v>
      </c>
      <c r="E52" s="5" t="s">
        <v>17</v>
      </c>
      <c r="F52" s="5" t="s">
        <v>35</v>
      </c>
      <c r="G52" s="5" t="s">
        <v>35</v>
      </c>
      <c r="H52" s="5" t="s">
        <v>35</v>
      </c>
      <c r="I52" s="6" t="s">
        <v>40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37</v>
      </c>
      <c r="O52" s="5" t="s">
        <v>35</v>
      </c>
      <c r="P52">
        <f t="shared" si="1"/>
        <v>0</v>
      </c>
    </row>
    <row r="53" spans="1:17" x14ac:dyDescent="0.3">
      <c r="A53" s="16" t="s">
        <v>107</v>
      </c>
      <c r="B53" s="17" t="s">
        <v>92</v>
      </c>
      <c r="C53" s="17" t="s">
        <v>92</v>
      </c>
      <c r="D53" s="17" t="s">
        <v>92</v>
      </c>
      <c r="E53" s="17" t="s">
        <v>17</v>
      </c>
      <c r="F53" s="17" t="s">
        <v>17</v>
      </c>
      <c r="G53" s="17" t="s">
        <v>17</v>
      </c>
      <c r="H53" s="17" t="s">
        <v>92</v>
      </c>
      <c r="I53" s="18" t="s">
        <v>22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41</v>
      </c>
      <c r="O53" s="17" t="s">
        <v>92</v>
      </c>
      <c r="P53">
        <f t="shared" si="1"/>
        <v>1</v>
      </c>
    </row>
    <row r="54" spans="1:17" x14ac:dyDescent="0.3">
      <c r="A54" s="30" t="s">
        <v>108</v>
      </c>
      <c r="B54" s="9" t="s">
        <v>109</v>
      </c>
      <c r="C54" s="9" t="s">
        <v>109</v>
      </c>
      <c r="D54" s="1" t="s">
        <v>17</v>
      </c>
      <c r="E54" s="1" t="s">
        <v>17</v>
      </c>
      <c r="F54" s="1" t="s">
        <v>17</v>
      </c>
      <c r="G54" s="9" t="s">
        <v>109</v>
      </c>
      <c r="H54" s="9" t="s">
        <v>109</v>
      </c>
      <c r="I54" s="2" t="s">
        <v>78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110</v>
      </c>
      <c r="O54" s="9" t="s">
        <v>109</v>
      </c>
      <c r="P54">
        <f t="shared" si="1"/>
        <v>0</v>
      </c>
    </row>
    <row r="55" spans="1:17" x14ac:dyDescent="0.3">
      <c r="A55" s="11" t="s">
        <v>111</v>
      </c>
      <c r="B55" s="5" t="s">
        <v>17</v>
      </c>
      <c r="C55" s="5" t="s">
        <v>17</v>
      </c>
      <c r="D55" s="5" t="s">
        <v>112</v>
      </c>
      <c r="E55" s="5" t="s">
        <v>112</v>
      </c>
      <c r="F55" s="5" t="s">
        <v>17</v>
      </c>
      <c r="G55" s="5" t="s">
        <v>112</v>
      </c>
      <c r="H55" s="5" t="s">
        <v>112</v>
      </c>
      <c r="I55" s="6" t="s">
        <v>113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37</v>
      </c>
      <c r="O55" s="5" t="s">
        <v>112</v>
      </c>
      <c r="P55">
        <f t="shared" si="1"/>
        <v>1</v>
      </c>
    </row>
    <row r="56" spans="1:17" x14ac:dyDescent="0.3">
      <c r="A56" s="10" t="s">
        <v>114</v>
      </c>
      <c r="B56" s="1" t="s">
        <v>17</v>
      </c>
      <c r="C56" s="1" t="s">
        <v>17</v>
      </c>
      <c r="D56" s="1" t="s">
        <v>35</v>
      </c>
      <c r="E56" s="1" t="s">
        <v>35</v>
      </c>
      <c r="F56" s="1" t="s">
        <v>35</v>
      </c>
      <c r="G56" s="1" t="s">
        <v>35</v>
      </c>
      <c r="H56" s="1" t="s">
        <v>17</v>
      </c>
      <c r="I56" s="2" t="s">
        <v>36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26</v>
      </c>
      <c r="O56" s="1" t="s">
        <v>35</v>
      </c>
      <c r="P56">
        <f t="shared" si="1"/>
        <v>0</v>
      </c>
    </row>
    <row r="57" spans="1:17" x14ac:dyDescent="0.3">
      <c r="A57" s="16" t="s">
        <v>115</v>
      </c>
      <c r="B57" s="17" t="s">
        <v>116</v>
      </c>
      <c r="C57" s="17" t="s">
        <v>116</v>
      </c>
      <c r="D57" s="17" t="s">
        <v>17</v>
      </c>
      <c r="E57" s="17" t="s">
        <v>17</v>
      </c>
      <c r="F57" s="17" t="s">
        <v>17</v>
      </c>
      <c r="G57" s="17" t="s">
        <v>116</v>
      </c>
      <c r="H57" s="17" t="s">
        <v>116</v>
      </c>
      <c r="I57" s="18" t="s">
        <v>18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33</v>
      </c>
      <c r="O57" s="17" t="s">
        <v>116</v>
      </c>
      <c r="P57">
        <f t="shared" si="1"/>
        <v>0</v>
      </c>
    </row>
    <row r="58" spans="1:17" x14ac:dyDescent="0.3">
      <c r="A58" s="11" t="s">
        <v>117</v>
      </c>
      <c r="B58" s="5" t="s">
        <v>118</v>
      </c>
      <c r="C58" s="5" t="s">
        <v>118</v>
      </c>
      <c r="D58" s="5" t="s">
        <v>17</v>
      </c>
      <c r="E58" s="5" t="s">
        <v>17</v>
      </c>
      <c r="F58" s="5" t="s">
        <v>17</v>
      </c>
      <c r="G58" s="5" t="s">
        <v>118</v>
      </c>
      <c r="H58" s="5" t="s">
        <v>118</v>
      </c>
      <c r="I58" s="6" t="s">
        <v>18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33</v>
      </c>
      <c r="O58" s="5" t="s">
        <v>118</v>
      </c>
      <c r="P58">
        <f t="shared" si="1"/>
        <v>0</v>
      </c>
    </row>
    <row r="59" spans="1:17" x14ac:dyDescent="0.3">
      <c r="A59" s="11" t="s">
        <v>119</v>
      </c>
      <c r="B59" s="5" t="s">
        <v>35</v>
      </c>
      <c r="C59" s="5" t="s">
        <v>35</v>
      </c>
      <c r="D59" s="5" t="s">
        <v>35</v>
      </c>
      <c r="E59" s="5" t="s">
        <v>17</v>
      </c>
      <c r="F59" s="5" t="s">
        <v>35</v>
      </c>
      <c r="G59" s="5" t="s">
        <v>17</v>
      </c>
      <c r="H59" s="5" t="s">
        <v>17</v>
      </c>
      <c r="I59" s="6" t="s">
        <v>25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37</v>
      </c>
      <c r="O59" s="5" t="s">
        <v>35</v>
      </c>
      <c r="P59">
        <f t="shared" si="1"/>
        <v>0</v>
      </c>
    </row>
    <row r="60" spans="1:17" x14ac:dyDescent="0.3">
      <c r="A60" s="11" t="s">
        <v>120</v>
      </c>
      <c r="B60" s="5" t="s">
        <v>116</v>
      </c>
      <c r="C60" s="5" t="s">
        <v>116</v>
      </c>
      <c r="D60" s="5" t="s">
        <v>116</v>
      </c>
      <c r="E60" s="5" t="s">
        <v>116</v>
      </c>
      <c r="F60" s="5" t="s">
        <v>17</v>
      </c>
      <c r="G60" s="5" t="s">
        <v>17</v>
      </c>
      <c r="H60" s="5" t="s">
        <v>17</v>
      </c>
      <c r="I60" s="6" t="s">
        <v>29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26</v>
      </c>
      <c r="O60" s="5" t="s">
        <v>116</v>
      </c>
      <c r="P60">
        <f t="shared" si="1"/>
        <v>0</v>
      </c>
    </row>
    <row r="61" spans="1:17" ht="15" customHeight="1" x14ac:dyDescent="0.3">
      <c r="A61" s="11" t="s">
        <v>121</v>
      </c>
      <c r="B61" s="5" t="s">
        <v>24</v>
      </c>
      <c r="C61" s="5" t="s">
        <v>17</v>
      </c>
      <c r="D61" s="5" t="s">
        <v>24</v>
      </c>
      <c r="E61" s="5" t="s">
        <v>24</v>
      </c>
      <c r="F61" s="5" t="s">
        <v>24</v>
      </c>
      <c r="G61" s="5" t="s">
        <v>17</v>
      </c>
      <c r="H61" s="5" t="s">
        <v>17</v>
      </c>
      <c r="I61" s="6" t="s">
        <v>43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37</v>
      </c>
      <c r="O61" s="5" t="s">
        <v>24</v>
      </c>
      <c r="P61">
        <f t="shared" si="1"/>
        <v>0</v>
      </c>
    </row>
    <row r="62" spans="1:17" x14ac:dyDescent="0.3">
      <c r="A62" t="s">
        <v>139</v>
      </c>
      <c r="B62" s="41" t="s">
        <v>17</v>
      </c>
      <c r="C62" s="41" t="s">
        <v>17</v>
      </c>
      <c r="D62" s="41" t="s">
        <v>17</v>
      </c>
      <c r="E62" s="42" t="s">
        <v>130</v>
      </c>
      <c r="F62" s="42" t="s">
        <v>130</v>
      </c>
      <c r="G62" s="42" t="s">
        <v>130</v>
      </c>
      <c r="H62" s="42" t="s">
        <v>130</v>
      </c>
      <c r="I62" s="42" t="s">
        <v>32</v>
      </c>
      <c r="J62" s="43">
        <v>0.875</v>
      </c>
      <c r="K62" s="43">
        <v>0.95833333333333337</v>
      </c>
      <c r="L62" s="43">
        <v>6.25E-2</v>
      </c>
      <c r="M62" s="43">
        <v>0.1875</v>
      </c>
      <c r="N62" s="44" t="s">
        <v>26</v>
      </c>
      <c r="O62" s="42" t="s">
        <v>130</v>
      </c>
      <c r="P62">
        <f t="shared" ref="P62:P63" si="2">IF(O62="OFF",0,
IF(VALUE(LEFT(O62,2))&lt;12,0,1))</f>
        <v>1</v>
      </c>
    </row>
    <row r="63" spans="1:17" x14ac:dyDescent="0.3">
      <c r="A63" s="40" t="s">
        <v>140</v>
      </c>
      <c r="B63" s="41" t="s">
        <v>17</v>
      </c>
      <c r="C63" s="41" t="s">
        <v>17</v>
      </c>
      <c r="D63" s="42" t="s">
        <v>128</v>
      </c>
      <c r="E63" s="42" t="s">
        <v>128</v>
      </c>
      <c r="F63" s="42" t="s">
        <v>128</v>
      </c>
      <c r="G63" s="42" t="s">
        <v>128</v>
      </c>
      <c r="H63" s="41" t="s">
        <v>17</v>
      </c>
      <c r="I63" s="42" t="s">
        <v>138</v>
      </c>
      <c r="J63" s="43">
        <v>0.34375</v>
      </c>
      <c r="K63" s="43">
        <v>0.16666666666666666</v>
      </c>
      <c r="L63" s="43">
        <v>0.22916666666666666</v>
      </c>
      <c r="M63" s="43">
        <v>0.42708333333333331</v>
      </c>
      <c r="N63" s="44" t="s">
        <v>26</v>
      </c>
      <c r="O63" s="42" t="s">
        <v>128</v>
      </c>
      <c r="P63">
        <f t="shared" si="2"/>
        <v>0</v>
      </c>
      <c r="Q63" s="45"/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phoneticPr fontId="8" type="noConversion"/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3"/>
  <sheetViews>
    <sheetView topLeftCell="A31" zoomScale="85" zoomScaleNormal="85" workbookViewId="0">
      <selection activeCell="A66" sqref="A66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122</v>
      </c>
      <c r="P1" s="39" t="s">
        <v>123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21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16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31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124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24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77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77</v>
      </c>
      <c r="P8">
        <f t="shared" si="1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77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77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125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77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124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126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31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112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77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77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31</v>
      </c>
      <c r="P19">
        <f t="shared" si="1"/>
        <v>0</v>
      </c>
    </row>
    <row r="20" spans="1:16" x14ac:dyDescent="0.3">
      <c r="A20" t="str">
        <f>EST!A20</f>
        <v>FRANCE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61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58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92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71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31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112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127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65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31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128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92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35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58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35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16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58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77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31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118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31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63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31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77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77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129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77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77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92</v>
      </c>
      <c r="P47">
        <f t="shared" si="3"/>
        <v>0</v>
      </c>
    </row>
    <row r="48" spans="1:16" x14ac:dyDescent="0.3">
      <c r="A48" t="str">
        <f>EST!A48</f>
        <v>MARY ANGELIE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24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65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71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77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77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63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74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54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77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130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88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77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130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31</v>
      </c>
      <c r="P61">
        <f t="shared" si="3"/>
        <v>0</v>
      </c>
    </row>
    <row r="62" spans="1:16" x14ac:dyDescent="0.3">
      <c r="A62" t="str">
        <f>EST!A62</f>
        <v>CRISMA VIC MELECIO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07:00 - 18:00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OFF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OFF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OFF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07:00 - 18:00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07:00 - 18:00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07:00 - 18:00</v>
      </c>
      <c r="I62" t="str">
        <f t="shared" ref="I62:I63" si="4">_xlfn.TEXTJOIN(" - ",TRUE,
IF(B62="OFF","Mon",""),
IF(C62="OFF","Tue",""),
IF(D62="OFF","Wed",""),
IF(E62="OFF","Thu",""),
IF(F62="OFF","Fri",""),
IF(G62="OFF","Sat",""),
IF(H62="OFF","Sun",""))</f>
        <v>Tue - Wed - Thu</v>
      </c>
      <c r="J62" s="38">
        <f>MOD(EST!J62+TIME(12,0,0),1)</f>
        <v>0.375</v>
      </c>
      <c r="K62" s="38">
        <f>MOD(EST!K62+TIME(12,0,0),1)</f>
        <v>0.45833333333333348</v>
      </c>
      <c r="L62" s="38">
        <f>MOD(EST!L62+TIME(12,0,0),1)</f>
        <v>0.5625</v>
      </c>
      <c r="M62" s="38">
        <f>MOD(EST!M62+TIME(12,0,0),1)</f>
        <v>0.6875</v>
      </c>
      <c r="N62" t="str">
        <f>EST!N62</f>
        <v>Manilyn Abellar</v>
      </c>
      <c r="O62" t="s">
        <v>116</v>
      </c>
      <c r="P62">
        <f t="shared" ref="P62:P63" si="5">IF(
TIMEVALUE(LEFT(O62,FIND("-",O62)-1))&gt;=12/24,
0,
1
)</f>
        <v>1</v>
      </c>
    </row>
    <row r="63" spans="1:16" x14ac:dyDescent="0.3">
      <c r="A63" t="str">
        <f>EST!A63</f>
        <v>JOANAH CARL ANOLING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OFF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12:00 - 23:00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12:00 - 23:00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12:00 - 23:00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12:00 - 23:00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4"/>
        <v>Mon - Tue - Sun</v>
      </c>
      <c r="J63" s="38">
        <f>MOD(EST!J63+TIME(12,0,0),1)</f>
        <v>0.84375</v>
      </c>
      <c r="K63" s="38">
        <f>MOD(EST!K63+TIME(12,0,0),1)</f>
        <v>0.66666666666666663</v>
      </c>
      <c r="L63" s="38">
        <f>MOD(EST!L63+TIME(12,0,0),1)</f>
        <v>0.72916666666666663</v>
      </c>
      <c r="M63" s="38">
        <f>MOD(EST!M63+TIME(12,0,0),1)</f>
        <v>0.92708333333333326</v>
      </c>
      <c r="N63" t="str">
        <f>EST!N63</f>
        <v>Manilyn Abellar</v>
      </c>
      <c r="O63" t="s">
        <v>74</v>
      </c>
      <c r="P63">
        <f t="shared" si="5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workbookViewId="0">
      <selection activeCell="C13" sqref="C13"/>
    </sheetView>
  </sheetViews>
  <sheetFormatPr defaultRowHeight="14.4" x14ac:dyDescent="0.3"/>
  <cols>
    <col min="1" max="1" width="26.6640625" customWidth="1"/>
    <col min="2" max="2" width="19.109375" style="29" customWidth="1"/>
    <col min="3" max="3" width="22.6640625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131</v>
      </c>
      <c r="C1" s="24" t="s">
        <v>132</v>
      </c>
      <c r="D1" s="24" t="s">
        <v>13</v>
      </c>
    </row>
    <row r="2" spans="1:4" x14ac:dyDescent="0.3">
      <c r="A2" s="16" t="s">
        <v>68</v>
      </c>
      <c r="B2" s="29">
        <v>46315</v>
      </c>
      <c r="C2" t="s">
        <v>143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143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143</v>
      </c>
      <c r="D4" t="str">
        <f>_xlfn.IFNA(VLOOKUP(A4,EST!A:N,14,FALSE),"")</f>
        <v>Remmo Panaligan</v>
      </c>
    </row>
    <row r="5" spans="1:4" x14ac:dyDescent="0.3">
      <c r="A5" t="s">
        <v>57</v>
      </c>
      <c r="B5" s="29">
        <v>46316</v>
      </c>
      <c r="C5" t="s">
        <v>143</v>
      </c>
      <c r="D5" t="str">
        <f>_xlfn.IFNA(VLOOKUP(A5,EST!A:N,14,FALSE),"")</f>
        <v>Michael Dominguez</v>
      </c>
    </row>
    <row r="6" spans="1:4" x14ac:dyDescent="0.3">
      <c r="A6" t="s">
        <v>83</v>
      </c>
      <c r="B6" s="29">
        <v>46317</v>
      </c>
      <c r="C6" t="s">
        <v>143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143</v>
      </c>
      <c r="D7" t="str">
        <f>_xlfn.IFNA(VLOOKUP(A7,EST!A:N,14,FALSE),"")</f>
        <v>Anmecha Valencia</v>
      </c>
    </row>
    <row r="8" spans="1:4" x14ac:dyDescent="0.3">
      <c r="A8" t="s">
        <v>57</v>
      </c>
      <c r="B8" s="29">
        <v>46317</v>
      </c>
      <c r="C8" t="s">
        <v>143</v>
      </c>
      <c r="D8" t="str">
        <f>_xlfn.IFNA(VLOOKUP(A8,EST!A:N,14,FALSE),"")</f>
        <v>Michael Dominguez</v>
      </c>
    </row>
    <row r="9" spans="1:4" x14ac:dyDescent="0.3">
      <c r="A9" t="s">
        <v>56</v>
      </c>
      <c r="B9" s="29">
        <v>46318</v>
      </c>
      <c r="C9" t="s">
        <v>143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143</v>
      </c>
      <c r="D10" t="str">
        <f>_xlfn.IFNA(VLOOKUP(A10,EST!A:N,14,FALSE),"")</f>
        <v>Michael Dominguez</v>
      </c>
    </row>
    <row r="11" spans="1:4" x14ac:dyDescent="0.3">
      <c r="A11" t="s">
        <v>111</v>
      </c>
      <c r="B11" s="29">
        <v>46318</v>
      </c>
      <c r="C11" t="s">
        <v>143</v>
      </c>
      <c r="D11" t="str">
        <f>_xlfn.IFNA(VLOOKUP(A11,EST!A:N,14,FALSE),"")</f>
        <v>Anmecha Valencia</v>
      </c>
    </row>
    <row r="12" spans="1:4" x14ac:dyDescent="0.3">
      <c r="A12" t="s">
        <v>139</v>
      </c>
      <c r="B12" s="29">
        <v>46319</v>
      </c>
      <c r="C12" t="s">
        <v>142</v>
      </c>
      <c r="D12" t="str">
        <f>_xlfn.IFNA(VLOOKUP(A12,EST!A:N,14,FALSE),"")</f>
        <v>Manilyn Abellar</v>
      </c>
    </row>
    <row r="13" spans="1:4" x14ac:dyDescent="0.3">
      <c r="A13" t="s">
        <v>101</v>
      </c>
      <c r="B13" s="29">
        <v>46320</v>
      </c>
      <c r="C13" t="s">
        <v>143</v>
      </c>
      <c r="D13" t="str">
        <f>_xlfn.IFNA(VLOOKUP(A13,EST!A:N,14,FALSE),"")</f>
        <v>Remmo Panaligan</v>
      </c>
    </row>
    <row r="14" spans="1:4" x14ac:dyDescent="0.3">
      <c r="A14" t="s">
        <v>139</v>
      </c>
      <c r="B14" s="29">
        <v>46320</v>
      </c>
      <c r="C14" t="s">
        <v>142</v>
      </c>
      <c r="D14" t="str">
        <f>_xlfn.IFNA(VLOOKUP(A14,EST!A:N,14,FALSE),"")</f>
        <v>Manilyn Abellar</v>
      </c>
    </row>
    <row r="15" spans="1:4" x14ac:dyDescent="0.3">
      <c r="A15" t="s">
        <v>115</v>
      </c>
      <c r="B15" s="29">
        <v>46321</v>
      </c>
      <c r="C15" t="s">
        <v>143</v>
      </c>
      <c r="D15" t="str">
        <f>_xlfn.IFNA(VLOOKUP(A15,EST!A:N,14,FALSE),"")</f>
        <v>Michael Dominguez</v>
      </c>
    </row>
    <row r="16" spans="1:4" x14ac:dyDescent="0.3">
      <c r="A16" t="s">
        <v>79</v>
      </c>
      <c r="B16" s="29">
        <v>46321</v>
      </c>
      <c r="C16" t="s">
        <v>143</v>
      </c>
      <c r="D16" t="str">
        <f>_xlfn.IFNA(VLOOKUP(A16,EST!A:N,14,FALSE),"")</f>
        <v>Remmo Panaligan</v>
      </c>
    </row>
    <row r="17" spans="1:4" x14ac:dyDescent="0.3">
      <c r="A17" t="s">
        <v>67</v>
      </c>
      <c r="B17" s="29">
        <v>46321</v>
      </c>
      <c r="C17" t="s">
        <v>143</v>
      </c>
      <c r="D17" t="str">
        <f>_xlfn.IFNA(VLOOKUP(A17,EST!A:N,14,FALSE),"")</f>
        <v>Remmo Panaligan</v>
      </c>
    </row>
    <row r="18" spans="1:4" x14ac:dyDescent="0.3">
      <c r="A18" t="s">
        <v>56</v>
      </c>
      <c r="B18" s="29">
        <v>46321</v>
      </c>
      <c r="C18" t="s">
        <v>143</v>
      </c>
      <c r="D18" t="str">
        <f>_xlfn.IFNA(VLOOKUP(A18,EST!A:N,14,FALSE),"")</f>
        <v>Anmecha Valencia</v>
      </c>
    </row>
    <row r="19" spans="1:4" x14ac:dyDescent="0.3">
      <c r="A19" t="s">
        <v>115</v>
      </c>
      <c r="B19" s="29">
        <v>46322</v>
      </c>
      <c r="C19" t="s">
        <v>143</v>
      </c>
      <c r="D19" t="str">
        <f>_xlfn.IFNA(VLOOKUP(A19,EST!A:N,14,FALSE),"")</f>
        <v>Michael Dominguez</v>
      </c>
    </row>
    <row r="20" spans="1:4" x14ac:dyDescent="0.3">
      <c r="A20" t="s">
        <v>79</v>
      </c>
      <c r="B20" s="29">
        <v>46322</v>
      </c>
      <c r="C20" t="s">
        <v>143</v>
      </c>
      <c r="D20" t="str">
        <f>_xlfn.IFNA(VLOOKUP(A20,EST!A:N,14,FALSE),"")</f>
        <v>Remmo Panaligan</v>
      </c>
    </row>
    <row r="21" spans="1:4" x14ac:dyDescent="0.3">
      <c r="A21" t="s">
        <v>67</v>
      </c>
      <c r="B21" s="29">
        <v>46322</v>
      </c>
      <c r="C21" t="s">
        <v>143</v>
      </c>
      <c r="D21" t="str">
        <f>_xlfn.IFNA(VLOOKUP(A21,EST!A:N,14,FALSE),"")</f>
        <v>Remmo Panaligan</v>
      </c>
    </row>
    <row r="22" spans="1:4" x14ac:dyDescent="0.3">
      <c r="A22" t="s">
        <v>56</v>
      </c>
      <c r="B22" s="29">
        <v>46322</v>
      </c>
      <c r="C22" t="s">
        <v>143</v>
      </c>
      <c r="D22" t="str">
        <f>_xlfn.IFNA(VLOOKUP(A22,EST!A:N,14,FALSE),"")</f>
        <v>Anmecha Valencia</v>
      </c>
    </row>
    <row r="23" spans="1:4" x14ac:dyDescent="0.3">
      <c r="A23" t="s">
        <v>62</v>
      </c>
      <c r="B23" s="29">
        <v>46322</v>
      </c>
      <c r="C23" t="s">
        <v>143</v>
      </c>
      <c r="D23" t="str">
        <f>_xlfn.IFNA(VLOOKUP(A23,EST!A:N,14,FALSE),"")</f>
        <v>Christopher Rodas</v>
      </c>
    </row>
    <row r="24" spans="1:4" x14ac:dyDescent="0.3">
      <c r="A24" t="s">
        <v>62</v>
      </c>
      <c r="B24" s="29">
        <v>46323</v>
      </c>
      <c r="C24" t="s">
        <v>143</v>
      </c>
      <c r="D24" t="str">
        <f>_xlfn.IFNA(VLOOKUP(A24,EST!A:N,14,FALSE),"")</f>
        <v>Christopher Rodas</v>
      </c>
    </row>
    <row r="25" spans="1:4" x14ac:dyDescent="0.3">
      <c r="A25" t="s">
        <v>27</v>
      </c>
      <c r="B25" s="29">
        <v>46323</v>
      </c>
      <c r="C25" t="s">
        <v>143</v>
      </c>
      <c r="D25" t="str">
        <f>_xlfn.IFNA(VLOOKUP(A25,EST!A:N,14,FALSE),"")</f>
        <v>Manilyn Abellar</v>
      </c>
    </row>
    <row r="26" spans="1:4" x14ac:dyDescent="0.3">
      <c r="A26" s="46" t="s">
        <v>140</v>
      </c>
      <c r="B26" s="29">
        <v>46323</v>
      </c>
      <c r="C26" t="s">
        <v>142</v>
      </c>
      <c r="D26" t="str">
        <f>_xlfn.IFNA(VLOOKUP(A26,EST!A:N,14,FALSE),"")</f>
        <v>Manilyn Abellar</v>
      </c>
    </row>
    <row r="27" spans="1:4" x14ac:dyDescent="0.3">
      <c r="A27" t="s">
        <v>93</v>
      </c>
      <c r="B27" s="29">
        <v>46324</v>
      </c>
      <c r="C27" t="s">
        <v>143</v>
      </c>
      <c r="D27" t="str">
        <f>_xlfn.IFNA(VLOOKUP(A27,EST!A:N,14,FALSE),"")</f>
        <v>Remmo Panaligan</v>
      </c>
    </row>
    <row r="28" spans="1:4" x14ac:dyDescent="0.3">
      <c r="A28" t="s">
        <v>49</v>
      </c>
      <c r="B28" s="29">
        <v>46324</v>
      </c>
      <c r="C28" t="s">
        <v>143</v>
      </c>
      <c r="D28" t="str">
        <f>_xlfn.IFNA(VLOOKUP(A28,EST!A:N,14,FALSE),"")</f>
        <v>Christopher Rodas</v>
      </c>
    </row>
    <row r="29" spans="1:4" x14ac:dyDescent="0.3">
      <c r="A29" t="s">
        <v>56</v>
      </c>
      <c r="B29" s="29">
        <v>46324</v>
      </c>
      <c r="C29" t="s">
        <v>143</v>
      </c>
      <c r="D29" t="str">
        <f>_xlfn.IFNA(VLOOKUP(A29,EST!A:N,14,FALSE),"")</f>
        <v>Anmecha Valencia</v>
      </c>
    </row>
    <row r="30" spans="1:4" x14ac:dyDescent="0.3">
      <c r="A30" t="s">
        <v>83</v>
      </c>
      <c r="B30" s="29">
        <v>46324</v>
      </c>
      <c r="C30" t="s">
        <v>143</v>
      </c>
      <c r="D30" t="str">
        <f>_xlfn.IFNA(VLOOKUP(A30,EST!A:N,14,FALSE),"")</f>
        <v>Manilyn Abellar</v>
      </c>
    </row>
    <row r="31" spans="1:4" x14ac:dyDescent="0.3">
      <c r="A31" s="40" t="s">
        <v>140</v>
      </c>
      <c r="B31" s="29">
        <v>46324</v>
      </c>
      <c r="C31" t="s">
        <v>142</v>
      </c>
      <c r="D31" t="str">
        <f>_xlfn.IFNA(VLOOKUP(A31,EST!A:N,14,FALSE),"")</f>
        <v>Manilyn Abellar</v>
      </c>
    </row>
    <row r="32" spans="1:4" x14ac:dyDescent="0.3">
      <c r="A32" s="47" t="s">
        <v>139</v>
      </c>
      <c r="B32" s="29">
        <v>46324</v>
      </c>
      <c r="C32" t="s">
        <v>142</v>
      </c>
      <c r="D32" t="str">
        <f>_xlfn.IFNA(VLOOKUP(A32,EST!A:N,14,FALSE),"")</f>
        <v>Manilyn Abellar</v>
      </c>
    </row>
    <row r="33" spans="1:4" x14ac:dyDescent="0.3">
      <c r="A33" s="47" t="s">
        <v>70</v>
      </c>
      <c r="B33" s="29">
        <v>46325</v>
      </c>
      <c r="C33" t="s">
        <v>143</v>
      </c>
      <c r="D33" t="str">
        <f>_xlfn.IFNA(VLOOKUP(A33,EST!A:N,14,FALSE),"")</f>
        <v>Manilyn Abellar</v>
      </c>
    </row>
    <row r="34" spans="1:4" x14ac:dyDescent="0.3">
      <c r="A34" s="40" t="s">
        <v>140</v>
      </c>
      <c r="B34" s="29">
        <v>46325</v>
      </c>
      <c r="C34" t="s">
        <v>142</v>
      </c>
      <c r="D34" t="str">
        <f>_xlfn.IFNA(VLOOKUP(A34,EST!A:N,14,FALSE),"")</f>
        <v>Manilyn Abellar</v>
      </c>
    </row>
    <row r="35" spans="1:4" x14ac:dyDescent="0.3">
      <c r="A35" s="47" t="s">
        <v>139</v>
      </c>
      <c r="B35" s="29">
        <v>46325</v>
      </c>
      <c r="C35" t="s">
        <v>142</v>
      </c>
      <c r="D35" t="str">
        <f>_xlfn.IFNA(VLOOKUP(A35,EST!A:N,14,FALSE),"")</f>
        <v>Manilyn Abellar</v>
      </c>
    </row>
    <row r="36" spans="1:4" x14ac:dyDescent="0.3">
      <c r="A36" t="s">
        <v>137</v>
      </c>
      <c r="B36" s="29">
        <v>46326</v>
      </c>
      <c r="C36" t="s">
        <v>143</v>
      </c>
      <c r="D36" t="str">
        <f>_xlfn.IFNA(VLOOKUP(A36,EST!A:N,14,FALSE),"")</f>
        <v>Christopher Rodas</v>
      </c>
    </row>
    <row r="37" spans="1:4" x14ac:dyDescent="0.3">
      <c r="A37" s="40" t="s">
        <v>140</v>
      </c>
      <c r="B37" s="29">
        <v>46326</v>
      </c>
      <c r="C37" t="s">
        <v>142</v>
      </c>
      <c r="D37" t="str">
        <f>_xlfn.IFNA(VLOOKUP(A37,EST!A:N,14,FALSE),"")</f>
        <v>Manilyn Abellar</v>
      </c>
    </row>
    <row r="38" spans="1:4" x14ac:dyDescent="0.3">
      <c r="A38" t="s">
        <v>139</v>
      </c>
      <c r="B38" s="29">
        <v>46326</v>
      </c>
      <c r="C38" t="s">
        <v>142</v>
      </c>
      <c r="D38" t="str">
        <f>_xlfn.IFNA(VLOOKUP(A38,EST!A:N,14,FALSE),"")</f>
        <v>Manilyn Abellar</v>
      </c>
    </row>
    <row r="39" spans="1:4" x14ac:dyDescent="0.3">
      <c r="A39" t="s">
        <v>139</v>
      </c>
      <c r="B39" s="29">
        <v>46327</v>
      </c>
      <c r="C39" t="s">
        <v>142</v>
      </c>
      <c r="D39" t="str">
        <f>_xlfn.IFNA(VLOOKUP(A39,EST!A:N,14,FALSE),"")</f>
        <v>Manilyn Abellar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tabSelected="1" workbookViewId="0">
      <selection activeCell="C9" sqref="C9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131</v>
      </c>
      <c r="C1" s="25" t="s">
        <v>132</v>
      </c>
      <c r="D1" s="25" t="s">
        <v>13</v>
      </c>
    </row>
    <row r="2" spans="1:4" x14ac:dyDescent="0.3">
      <c r="A2" s="26" t="s">
        <v>53</v>
      </c>
      <c r="B2" s="29">
        <v>46315</v>
      </c>
      <c r="C2" s="27" t="s">
        <v>133</v>
      </c>
      <c r="D2" t="str">
        <f>VLOOKUP(A2,EST!A:N,14,FALSE)</f>
        <v>Anmecha Valencia</v>
      </c>
    </row>
    <row r="3" spans="1:4" x14ac:dyDescent="0.3">
      <c r="A3" s="27" t="s">
        <v>64</v>
      </c>
      <c r="B3" s="29">
        <v>46316</v>
      </c>
      <c r="C3" s="27" t="s">
        <v>134</v>
      </c>
      <c r="D3" t="str">
        <f>VLOOKUP(A3,EST!A:N,14,FALSE)</f>
        <v>Michael Dominguez</v>
      </c>
    </row>
    <row r="4" spans="1:4" x14ac:dyDescent="0.3">
      <c r="A4" s="11" t="s">
        <v>53</v>
      </c>
      <c r="B4" s="29">
        <v>46316</v>
      </c>
      <c r="C4" s="27" t="s">
        <v>135</v>
      </c>
      <c r="D4" t="str">
        <f>VLOOKUP(A4,EST!A:N,14,FALSE)</f>
        <v>Anmecha Valencia</v>
      </c>
    </row>
    <row r="5" spans="1:4" x14ac:dyDescent="0.3">
      <c r="A5" s="27" t="s">
        <v>87</v>
      </c>
      <c r="B5" s="29">
        <v>46316</v>
      </c>
      <c r="C5" s="27" t="s">
        <v>136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133</v>
      </c>
      <c r="D6" t="str">
        <f>VLOOKUP(A6,EST!A:N,14,FALSE)</f>
        <v>Manilyn Abellar</v>
      </c>
    </row>
    <row r="7" spans="1:4" x14ac:dyDescent="0.3">
      <c r="A7" s="11" t="s">
        <v>119</v>
      </c>
      <c r="B7" s="29">
        <v>46318</v>
      </c>
      <c r="C7" s="27" t="s">
        <v>133</v>
      </c>
      <c r="D7" t="str">
        <f>VLOOKUP(A7,EST!A:N,14,FALSE)</f>
        <v>Anmecha Valencia</v>
      </c>
    </row>
    <row r="8" spans="1:4" x14ac:dyDescent="0.3">
      <c r="A8" s="27" t="s">
        <v>105</v>
      </c>
      <c r="B8" s="29">
        <v>46319</v>
      </c>
      <c r="C8" s="27" t="s">
        <v>133</v>
      </c>
      <c r="D8" t="str">
        <f>_xlfn.IFNA(VLOOKUP(A8,EST!A:N,14,FALSE),"")</f>
        <v>Christopher Rodas</v>
      </c>
    </row>
    <row r="9" spans="1:4" x14ac:dyDescent="0.3">
      <c r="A9" s="27" t="s">
        <v>111</v>
      </c>
      <c r="B9" s="29">
        <v>46319</v>
      </c>
      <c r="C9" s="27" t="s">
        <v>133</v>
      </c>
      <c r="D9" t="str">
        <f>_xlfn.IFNA(VLOOKUP(A9,EST!A:N,14,FALSE),"")</f>
        <v>Anmecha Valencia</v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2026-10-25T02:32:02Z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