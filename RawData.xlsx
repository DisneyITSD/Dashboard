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606" documentId="8_{3D986408-3F70-4028-ABB2-0B6A1225D05C}" xr6:coauthVersionLast="47" xr6:coauthVersionMax="47" xr10:uidLastSave="{0CCD65E5-A7A9-4459-90FA-7C6FCBE377D9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9" i="3" l="1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<sst xmlns="http://schemas.openxmlformats.org/spreadsheetml/2006/main" count="829" uniqueCount="140">
  <si>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</si>
  <si>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</si>
  <si>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</si>
  <si>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</si>
  <si>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</si>
  <si>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</si>
  <si>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</si>
  <si>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</si>
  <si>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</si>
  <si>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</si>
  <si>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</si>
  <si>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</si>
  <si>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</si>
  <si>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</si>
  <si>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</si>
  <si>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</si>
  <si>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</si>
  <si>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</si>
  <si>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</si>
  <si>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</si>
  <si>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</si>
  <si>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</si>
  <si>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</si>
  <si>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</si>
  <si>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</si>
  <si>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</si>
  <si>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</si>
  <si>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</si>
  <si>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</si>
  <si>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</si>
  <si>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</si>
  <si>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</si>
  <si>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</si>
  <si>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</si>
  <si>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</si>
  <si>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</si>
  <si>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</si>
  <si>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</si>
  <si>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</si>
  <si>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</si>
  <si>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</si>
  <si>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</si>
  <si>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</si>
  <si>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</si>
  <si>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</si>
  <si>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</si>
  <si>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</si>
  <si>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</si>
  <si>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</si>
  <si>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</si>
  <si>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</si>
  <si>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</si>
  <si>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</si>
  <si>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</si>
  <si>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</si>
  <si>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</si>
  <si>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</si>
  <si>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</si>
  <si>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</si>
  <si>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</si>
  <si>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</si>
  <si>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</si>
  <si>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</si>
  <si>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</si>
  <si>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</si>
  <si>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</si>
  <si>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</si>
  <si>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</si>
  <si>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</si>
  <si>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</si>
  <si>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</si>
  <si>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</si>
  <si>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</si>
  <si>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</si>
  <si>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</si>
  <si>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</si>
  <si>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</si>
  <si>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</si>
  <si>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</si>
  <si>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</si>
  <si>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</si>
  <si>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</si>
  <si>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</si>
  <si>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</si>
  <si>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</si>
  <si>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</si>
  <si>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</si>
  <si>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</si>
  <si>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</si>
  <si>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</si>
  <si>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</si>
  <si>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</si>
  <si>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</si>
  <si>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</si>
  <si>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</si>
  <si>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</si>
  <si>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</si>
  <si>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</si>
  <si>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</si>
  <si>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</si>
  <si>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</si>
  <si>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</si>
  <si>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</si>
  <si>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</si>
  <si>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</si>
  <si>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</si>
  <si>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</si>
  <si>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</si>
  <si>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</si>
  <si>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</si>
  <si>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</si>
  <si>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</si>
  <si>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</si>
  <si>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</si>
  <si>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</si>
  <si>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</si>
  <si>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</si>
  <si>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</si>
  <si>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</si>
  <si>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</si>
  <si>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</si>
  <si>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</si>
  <si>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</si>
  <si>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</si>
  <si>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</si>
  <si>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</si>
  <si>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</si>
  <si>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</si>
  <si>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</si>
  <si>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</si>
  <si>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</si>
  <si>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</si>
  <si>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</si>
  <si>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</si>
  <si>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</si>
  <si>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</si>
  <si>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</si>
  <si>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</si>
  <si>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EST SHIFT</t>
  </si>
  <si>
    <t>PH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</si>
</sst>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opLeftCell="A31" zoomScaleNormal="100" workbookViewId="0">
      <selection activeCell="A51" sqref="A51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138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O2" sqref="O2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139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tabSelected="1" workbookViewId="0">
      <selection activeCell="G21" sqref="G21"/>
    </sheetView>
  </sheetViews>
  <sheetFormatPr defaultRowHeight="14.4" x14ac:dyDescent="0.3"/>
  <cols>
    <col min="1" max="1" width="26.6640625" customWidth="1"/>
    <col min="2" max="2" width="10.33203125" style="29" bestFit="1" customWidth="1"/>
    <col min="3" max="3" width="7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137</v>
      </c>
      <c r="C1" s="24" t="s">
        <v>121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123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123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123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123</v>
      </c>
      <c r="D5" t="str">
        <f>VLOOKUP(A5,EST!A:N,14,FALSE)</f>
        <v>Michael Dominguez</v>
      </c>
    </row>
    <row r="6" spans="1:4" x14ac:dyDescent="0.3">
      <c r="A6" t="s">
        <v>94</v>
      </c>
      <c r="B6" s="29">
        <v>46317</v>
      </c>
      <c r="C6" t="s">
        <v>123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123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123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123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123</v>
      </c>
      <c r="D10" t="str">
        <f>VLOOKUP(A10,EST!A:N,14,FALSE)</f>
        <v>Michael Dominguez</v>
      </c>
    </row>
    <row r="11" spans="1:4" x14ac:dyDescent="0.3">
      <c r="A11" t="s">
        <v>115</v>
      </c>
      <c r="B11" s="29">
        <v>46318</v>
      </c>
      <c r="C11" t="s">
        <v>123</v>
      </c>
      <c r="D11" t="str">
        <f>VLOOKUP(A11,EST!A:N,14,FALSE)</f>
        <v>Anmecha Valencia</v>
      </c>
    </row>
    <row r="12" spans="1:4" x14ac:dyDescent="0.3">
      <c r="A12" t="s">
        <v>107</v>
      </c>
      <c r="B12" s="29">
        <v>46320</v>
      </c>
      <c r="C12" t="s">
        <v>123</v>
      </c>
      <c r="D12" t="str">
        <f>VLOOKUP(A12,EST!A:N,14,FALSE)</f>
        <v>Remmo Panaligan</v>
      </c>
    </row>
    <row r="13" spans="1:4" x14ac:dyDescent="0.3">
      <c r="A13" t="s">
        <v>117</v>
      </c>
      <c r="B13" s="29">
        <v>46321</v>
      </c>
      <c r="C13" t="s">
        <v>123</v>
      </c>
      <c r="D13" t="str">
        <f>VLOOKUP(A13,EST!A:N,14,FALSE)</f>
        <v>Michael Dominguez</v>
      </c>
    </row>
    <row r="14" spans="1:4" x14ac:dyDescent="0.3">
      <c r="A14" t="s">
        <v>92</v>
      </c>
      <c r="B14" s="29">
        <v>46321</v>
      </c>
      <c r="C14" t="s">
        <v>123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123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123</v>
      </c>
      <c r="D16" t="str">
        <f>VLOOKUP(A16,EST!A:N,14,FALSE)</f>
        <v>Anmecha Valencia</v>
      </c>
    </row>
    <row r="17" spans="1:4" x14ac:dyDescent="0.3">
      <c r="A17" t="s">
        <v>117</v>
      </c>
      <c r="B17" s="29">
        <v>46322</v>
      </c>
      <c r="C17" t="s">
        <v>123</v>
      </c>
      <c r="D17" t="str">
        <f>VLOOKUP(A17,EST!A:N,14,FALSE)</f>
        <v>Michael Dominguez</v>
      </c>
    </row>
    <row r="18" spans="1:4" x14ac:dyDescent="0.3">
      <c r="A18" t="s">
        <v>92</v>
      </c>
      <c r="B18" s="29">
        <v>46322</v>
      </c>
      <c r="C18" t="s">
        <v>123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123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123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123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123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123</v>
      </c>
      <c r="D23" t="str">
        <f>VLOOKUP(A23,EST!A:N,14,FALSE)</f>
        <v>Manilyn Abellar</v>
      </c>
    </row>
    <row r="24" spans="1:4" x14ac:dyDescent="0.3">
      <c r="A24" t="s">
        <v>101</v>
      </c>
      <c r="B24" s="29">
        <v>46324</v>
      </c>
      <c r="C24" t="s">
        <v>123</v>
      </c>
      <c r="D24" t="str">
        <f>VLOOKUP(A24,EST!A:N,14,FALSE)</f>
        <v>Remmo Panaligan</v>
      </c>
    </row>
    <row r="25" spans="1:4" x14ac:dyDescent="0.3">
      <c r="A25" t="s">
        <v>124</v>
      </c>
      <c r="B25" s="29">
        <v>46324</v>
      </c>
      <c r="C25" t="s">
        <v>123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123</v>
      </c>
      <c r="D26" t="str">
        <f>VLOOKUP(A26,EST!A:N,14,FALSE)</f>
        <v>Anmecha Valencia</v>
      </c>
    </row>
    <row r="27" spans="1:4" x14ac:dyDescent="0.3">
      <c r="A27" t="s">
        <v>94</v>
      </c>
      <c r="B27" s="29">
        <v>46324</v>
      </c>
      <c r="C27" t="s">
        <v>123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123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123</v>
      </c>
      <c r="D29" t="str">
        <f>VLOOKUP(A29,EST!A:N,14,FALSE)</f>
        <v>Christopher Rodas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C1" sqref="C1:E1048576"/>
    </sheetView>
  </sheetViews>
  <sheetFormatPr defaultRowHeight="14.4" x14ac:dyDescent="0.3"/>
  <cols>
    <col min="1" max="1" width="28.6640625" style="27" bestFit="1" customWidth="1"/>
    <col min="2" max="2" width="10.33203125" style="29" bestFit="1" customWidth="1"/>
    <col min="3" max="3" width="21.7773437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137</v>
      </c>
      <c r="C1" s="25" t="s">
        <v>121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122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125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126</v>
      </c>
      <c r="D4" t="str">
        <f>VLOOKUP(A4,EST!A:N,14,FALSE)</f>
        <v>Anmecha Valencia</v>
      </c>
    </row>
    <row r="5" spans="1:4" x14ac:dyDescent="0.3">
      <c r="A5" s="27" t="s">
        <v>98</v>
      </c>
      <c r="B5" s="29">
        <v>46316</v>
      </c>
      <c r="C5" s="27" t="s">
        <v>127</v>
      </c>
      <c r="D5" t="str">
        <f>VLOOKUP(A5,EST!A:N,14,FALSE)</f>
        <v>Christopher Rodas</v>
      </c>
    </row>
    <row r="6" spans="1:4" x14ac:dyDescent="0.3">
      <c r="A6" s="16" t="s">
        <v>65</v>
      </c>
      <c r="B6" s="29">
        <v>46318</v>
      </c>
      <c r="C6" s="27" t="s">
        <v>122</v>
      </c>
      <c r="D6" t="str">
        <f>VLOOKUP(A6,EST!A:N,14,FALSE)</f>
        <v>Manilyn Abellar</v>
      </c>
    </row>
    <row r="7" spans="1:4" x14ac:dyDescent="0.3">
      <c r="A7" s="11" t="s">
        <v>118</v>
      </c>
      <c r="B7" s="29">
        <v>46318</v>
      </c>
      <c r="C7" s="27" t="s">
        <v>122</v>
      </c>
      <c r="D7" t="str">
        <f>VLOOKUP(A7,EST!A:N,14,FALSE)</f>
        <v>Anmecha Valencia</v>
      </c>
    </row>
    <row r="8" spans="1:4" x14ac:dyDescent="0.3">
      <c r="A8" s="27" t="s">
        <v>111</v>
      </c>
      <c r="B8" s="29">
        <v>46319</v>
      </c>
      <c r="C8" s="27" t="s">
        <v>122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2026-10-24T20:13:02Z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