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477" documentId="11_94451ABCA0A2D337C40D543FD3FF15B293680652" xr6:coauthVersionLast="47" xr6:coauthVersionMax="47" xr10:uidLastSave="{61A6229D-F83C-4BC0-A46F-E063098A5B0C}"/>
  <bookViews>
    <workbookView xWindow="-108" yWindow="-108" windowWidth="23256" windowHeight="13896" firstSheet="2" activeTab="5" xr2:uid="{75395B83-6453-4C33-8933-D8D7F8DF6F8F}"/>
  </bookViews>
  <sheets>
    <sheet name="EST" sheetId="1" r:id="rId1"/>
    <sheet name="Sheet1" sheetId="8" r:id="rId2"/>
    <sheet name="PH" sheetId="4" r:id="rId3"/>
    <sheet name="EST_OLD" sheetId="6" r:id="rId4"/>
    <sheet name="PH_OLD" sheetId="7" r:id="rId5"/>
    <sheet name="PTO" sheetId="2" r:id="rId6"/>
    <sheet name="Called OFF" sheetId="3" r:id="rId7"/>
    <sheet name="Sheet2" sheetId="9" r:id="rId8"/>
  </sheets>
  <definedNames>
    <definedName name="_xlnm._FilterDatabase" localSheetId="0" hidden="1">EST!$A$1:$O$66</definedName>
    <definedName name="_xlnm._FilterDatabase" localSheetId="2" hidden="1">PH!$A$1:$O$61</definedName>
    <definedName name="_xlnm._FilterDatabase" localSheetId="4" hidden="1">PH_OLD!$A$1:$P$68</definedName>
    <definedName name="_xlnm._FilterDatabase" localSheetId="5" hidden="1">PTO!$A$1:$D$66</definedName>
    <definedName name="_xlnm._FilterDatabase" localSheetId="1" hidden="1">Sheet1!$A$1:$G$20</definedName>
    <definedName name="_xlnm._FilterDatabase" localSheetId="7" hidden="1">Sheet2!$A$1:$G$53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48" i="2" l="1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46" i="2"/>
  <c r="D47" i="2"/>
  <c r="D39" i="2"/>
  <c r="D40" i="2"/>
  <c r="D41" i="2"/>
  <c r="D29" i="2"/>
  <c r="D24" i="2"/>
  <c r="D25" i="2"/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 s="1"/>
  <c r="P4" i="6"/>
  <c r="B4" i="7" s="1"/>
  <c r="P5" i="6"/>
  <c r="P6" i="6"/>
  <c r="P7" i="6"/>
  <c r="D7" i="7" s="1"/>
  <c r="P8" i="6"/>
  <c r="E8" i="7" s="1"/>
  <c r="P9" i="6"/>
  <c r="D9" i="7" s="1"/>
  <c r="P10" i="6"/>
  <c r="P11" i="6"/>
  <c r="B11" i="7" s="1"/>
  <c r="P12" i="6"/>
  <c r="C12" i="7" s="1"/>
  <c r="P13" i="6"/>
  <c r="D13" i="7" s="1"/>
  <c r="P14" i="6"/>
  <c r="C14" i="7" s="1"/>
  <c r="P15" i="6"/>
  <c r="F15" i="7" s="1"/>
  <c r="P16" i="6"/>
  <c r="D16" i="7" s="1"/>
  <c r="P17" i="6"/>
  <c r="F17" i="7" s="1"/>
  <c r="P18" i="6"/>
  <c r="C18" i="7" s="1"/>
  <c r="P19" i="6"/>
  <c r="P20" i="6"/>
  <c r="P21" i="6"/>
  <c r="P22" i="6"/>
  <c r="P23" i="6"/>
  <c r="P24" i="6"/>
  <c r="P25" i="6"/>
  <c r="E25" i="7" s="1"/>
  <c r="P26" i="6"/>
  <c r="P27" i="6"/>
  <c r="P28" i="6"/>
  <c r="P29" i="6"/>
  <c r="D29" i="7" s="1"/>
  <c r="P30" i="6"/>
  <c r="B30" i="7" s="1"/>
  <c r="P31" i="6"/>
  <c r="D31" i="7" s="1"/>
  <c r="P32" i="6"/>
  <c r="P33" i="6"/>
  <c r="P34" i="6"/>
  <c r="P35" i="6"/>
  <c r="C35" i="7" s="1"/>
  <c r="P36" i="6"/>
  <c r="P37" i="6"/>
  <c r="P38" i="6"/>
  <c r="D38" i="7" s="1"/>
  <c r="P39" i="6"/>
  <c r="P40" i="6"/>
  <c r="P41" i="6"/>
  <c r="D41" i="7" s="1"/>
  <c r="P42" i="6"/>
  <c r="P43" i="6"/>
  <c r="D43" i="7" s="1"/>
  <c r="P44" i="6"/>
  <c r="F44" i="7" s="1"/>
  <c r="P45" i="6"/>
  <c r="C45" i="7" s="1"/>
  <c r="P46" i="6"/>
  <c r="P47" i="6"/>
  <c r="C47" i="7" s="1"/>
  <c r="P48" i="6"/>
  <c r="P49" i="6"/>
  <c r="C49" i="7" s="1"/>
  <c r="P50" i="6"/>
  <c r="P51" i="6"/>
  <c r="C51" i="7" s="1"/>
  <c r="P52" i="6"/>
  <c r="P53" i="6"/>
  <c r="P54" i="6"/>
  <c r="E54" i="7" s="1"/>
  <c r="P55" i="6"/>
  <c r="P56" i="6"/>
  <c r="F56" i="7" s="1"/>
  <c r="P57" i="6"/>
  <c r="F57" i="7" s="1"/>
  <c r="P58" i="6"/>
  <c r="F58" i="7" s="1"/>
  <c r="P59" i="6"/>
  <c r="P60" i="6"/>
  <c r="P61" i="6"/>
  <c r="P62" i="6"/>
  <c r="P63" i="6"/>
  <c r="P64" i="6"/>
  <c r="P65" i="6"/>
  <c r="B65" i="7" s="1"/>
  <c r="P66" i="6"/>
  <c r="B66" i="7" s="1"/>
  <c r="P67" i="6"/>
  <c r="B67" i="7" s="1"/>
  <c r="P68" i="6"/>
  <c r="B68" i="7" s="1"/>
  <c r="P2" i="1"/>
  <c r="B2" i="4" s="1"/>
  <c r="B12" i="7" l="1"/>
  <c r="G41" i="7"/>
  <c r="G38" i="7"/>
  <c r="G56" i="7"/>
  <c r="G47" i="7"/>
  <c r="B43" i="7"/>
  <c r="I43" i="7" s="1"/>
  <c r="E44" i="7"/>
  <c r="F25" i="7"/>
  <c r="G12" i="7"/>
  <c r="F38" i="7"/>
  <c r="E38" i="7"/>
  <c r="B29" i="7"/>
  <c r="D44" i="7"/>
  <c r="F63" i="7"/>
  <c r="I63" i="7" s="1"/>
  <c r="D63" i="7"/>
  <c r="E63" i="7"/>
  <c r="B63" i="7"/>
  <c r="E62" i="7"/>
  <c r="F62" i="7"/>
  <c r="B62" i="7"/>
  <c r="I62" i="7" s="1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 s="1"/>
  <c r="D59" i="7"/>
  <c r="E59" i="7"/>
  <c r="G59" i="7"/>
  <c r="B59" i="7"/>
  <c r="F59" i="7"/>
  <c r="F45" i="7"/>
  <c r="D45" i="7"/>
  <c r="E45" i="7"/>
  <c r="B31" i="7"/>
  <c r="I31" i="7" s="1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 s="1"/>
  <c r="F29" i="7"/>
  <c r="G15" i="7"/>
  <c r="I15" i="7" s="1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 s="1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 s="1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 s="1"/>
  <c r="E16" i="7"/>
  <c r="I16" i="7" s="1"/>
  <c r="I46" i="7" l="1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 s="1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 s="1"/>
  <c r="P4" i="1"/>
  <c r="D4" i="4" s="1"/>
  <c r="P5" i="1"/>
  <c r="D5" i="4" s="1"/>
  <c r="P6" i="1"/>
  <c r="F6" i="4" s="1"/>
  <c r="P7" i="1"/>
  <c r="G7" i="4" s="1"/>
  <c r="P8" i="1"/>
  <c r="H8" i="4" s="1"/>
  <c r="P9" i="1"/>
  <c r="B9" i="4" s="1"/>
  <c r="P10" i="1"/>
  <c r="B10" i="4" s="1"/>
  <c r="P11" i="1"/>
  <c r="B11" i="4" s="1"/>
  <c r="P12" i="1"/>
  <c r="C12" i="4" s="1"/>
  <c r="P13" i="1"/>
  <c r="C13" i="4" s="1"/>
  <c r="P14" i="1"/>
  <c r="C14" i="4" s="1"/>
  <c r="P16" i="1"/>
  <c r="C16" i="4" s="1"/>
  <c r="P17" i="1"/>
  <c r="C17" i="4" s="1"/>
  <c r="P18" i="1"/>
  <c r="D18" i="4" s="1"/>
  <c r="P19" i="1"/>
  <c r="D19" i="4" s="1"/>
  <c r="P20" i="1"/>
  <c r="E20" i="4" s="1"/>
  <c r="P21" i="1"/>
  <c r="G21" i="4" s="1"/>
  <c r="P22" i="1"/>
  <c r="H22" i="4" s="1"/>
  <c r="P23" i="1"/>
  <c r="B23" i="4" s="1"/>
  <c r="P24" i="1"/>
  <c r="B24" i="4" s="1"/>
  <c r="P25" i="1"/>
  <c r="B25" i="4" s="1"/>
  <c r="P26" i="1"/>
  <c r="C26" i="4" s="1"/>
  <c r="P27" i="1"/>
  <c r="C27" i="4" s="1"/>
  <c r="P28" i="1"/>
  <c r="C28" i="4" s="1"/>
  <c r="P29" i="1"/>
  <c r="C29" i="4" s="1"/>
  <c r="P30" i="1"/>
  <c r="C30" i="4" s="1"/>
  <c r="P31" i="1"/>
  <c r="C31" i="4" s="1"/>
  <c r="P32" i="1"/>
  <c r="D32" i="4" s="1"/>
  <c r="P33" i="1"/>
  <c r="D33" i="4" s="1"/>
  <c r="P34" i="1"/>
  <c r="E34" i="4" s="1"/>
  <c r="P35" i="1"/>
  <c r="G35" i="4" s="1"/>
  <c r="P36" i="1"/>
  <c r="H36" i="4" s="1"/>
  <c r="P37" i="1"/>
  <c r="B37" i="4" s="1"/>
  <c r="P38" i="1"/>
  <c r="B38" i="4" s="1"/>
  <c r="P39" i="1"/>
  <c r="B39" i="4" s="1"/>
  <c r="P40" i="1"/>
  <c r="C40" i="4" s="1"/>
  <c r="P41" i="1"/>
  <c r="C41" i="4" s="1"/>
  <c r="P42" i="1"/>
  <c r="C42" i="4" s="1"/>
  <c r="P43" i="1"/>
  <c r="C43" i="4" s="1"/>
  <c r="P44" i="1"/>
  <c r="C44" i="4" s="1"/>
  <c r="P45" i="1"/>
  <c r="C45" i="4" s="1"/>
  <c r="P46" i="1"/>
  <c r="D46" i="4" s="1"/>
  <c r="P47" i="1"/>
  <c r="D47" i="4" s="1"/>
  <c r="P48" i="1"/>
  <c r="E48" i="4" s="1"/>
  <c r="P49" i="1"/>
  <c r="G49" i="4" s="1"/>
  <c r="P50" i="1"/>
  <c r="H50" i="4" s="1"/>
  <c r="P51" i="1"/>
  <c r="B51" i="4" s="1"/>
  <c r="P52" i="1"/>
  <c r="B52" i="4" s="1"/>
  <c r="P53" i="1"/>
  <c r="B53" i="4" s="1"/>
  <c r="P54" i="1"/>
  <c r="C54" i="4" s="1"/>
  <c r="P55" i="1"/>
  <c r="C55" i="4" s="1"/>
  <c r="P56" i="1"/>
  <c r="C56" i="4" s="1"/>
  <c r="P57" i="1"/>
  <c r="C57" i="4" s="1"/>
  <c r="P58" i="1"/>
  <c r="C58" i="4" s="1"/>
  <c r="P59" i="1"/>
  <c r="C59" i="4" s="1"/>
  <c r="P60" i="1"/>
  <c r="D60" i="4" s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 l="1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 l="1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<sst xmlns="http://schemas.openxmlformats.org/spreadsheetml/2006/main" count="2283" uniqueCount="278">
  <si>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</si>
  <si>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</si>
  <si>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</si>
  <si>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</si>
  <si>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</si>
  <si>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</si>
  <si>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</si>
  <si>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</si>
  <si>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</si>
  <si>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</si>
  <si>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</si>
  <si>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</si>
  <si>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</si>
  <si>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</si>
  <si>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</si>
  <si>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</si>
  <si>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</si>
  <si>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</si>
  <si>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</si>
  <si>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</si>
  <si>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</si>
  <si>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</si>
  <si>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</si>
  <si>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</si>
  <si>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</si>
  <si>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</si>
  <si>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</si>
  <si>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</si>
  <si>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</si>
  <si>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</si>
  <si>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</si>
  <si>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</si>
  <si>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</si>
  <si>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</si>
  <si>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</si>
  <si>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</si>
  <si>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</si>
  <si>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</si>
  <si>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</si>
  <si>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</si>
  <si>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</si>
  <si>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</si>
  <si>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</si>
  <si>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</si>
  <si>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</si>
  <si>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</si>
  <si>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</si>
  <si>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</si>
  <si>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</si>
  <si>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</si>
  <si>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</si>
  <si>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</si>
  <si>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</si>
  <si>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</si>
  <si>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</si>
  <si>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</si>
  <si>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</si>
  <si>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</si>
  <si>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</si>
  <si>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</si>
  <si>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</si>
  <si>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</si>
  <si>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</si>
  <si>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</si>
  <si>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</si>
  <si>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</si>
  <si>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</si>
  <si>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</si>
  <si>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</si>
  <si>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</si>
  <si>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</si>
  <si>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</si>
  <si>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</si>
  <si>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</si>
  <si>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</si>
  <si>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</si>
  <si>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</si>
  <si>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</si>
  <si>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</si>
  <si>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</si>
  <si>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</si>
  <si>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</si>
  <si>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</si>
  <si>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</si>
  <si>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</si>
  <si>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</si>
  <si>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</si>
  <si>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</si>
  <si>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</si>
  <si>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</si>
  <si>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</si>
  <si>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</si>
  <si>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</si>
  <si>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</si>
  <si>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</si>
  <si>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</si>
  <si>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</si>
  <si>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</si>
  <si>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</si>
  <si>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</si>
  <si>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</si>
  <si>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</si>
  <si>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</si>
  <si>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</si>
  <si>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</si>
  <si>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</si>
  <si>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</si>
  <si>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</si>
  <si>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</si>
  <si>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</si>
  <si>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</si>
  <si>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</si>
  <si>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</si>
  <si>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</si>
  <si>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</si>
  <si>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</si>
  <si>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</si>
  <si>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</si>
  <si>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</si>
  <si>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</si>
  <si>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</si>
  <si>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</si>
  <si>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</si>
  <si>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</si>
  <si>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</si>
  <si>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</si>
  <si>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</si>
  <si>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</si>
  <si>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</si>
  <si>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</si>
  <si>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</si>
  <si>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</si>
  <si>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</si>
  <si>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</si>
  <si>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</si>
  <si>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</si>
  <si>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</si>
  <si>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</si>
  <si>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</si>
  <si>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EST Date</t>
  </si>
  <si>
    <t>Reason</t>
  </si>
  <si>
    <t>Vacation Leave</t>
  </si>
  <si>
    <t>Maternity Leave</t>
  </si>
  <si>
    <t>Called Off</t>
  </si>
  <si>
    <t>Running Late (No ETA)</t>
  </si>
  <si>
    <t>Running Late (ETA : 17:00)</t>
  </si>
  <si>
    <t>Left Early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</si>
  <si>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</si>
  <si>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</si>
  <si>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</si>
  <si>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</si>
  <si>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</si>
  <si>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</si>
  <si>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</si>
  <si>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</si>
  <si>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</si>
  <si>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</si>
  <si>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</si>
  <si>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Column1</t>
  </si>
  <si>
    <t>Shift EST</t>
  </si>
  <si>
    <t>Shift</t>
  </si>
  <si>
    <t>20:30 - 07:30</t>
  </si>
  <si>
    <t>Analyst Name</t>
  </si>
  <si>
    <t>Date</t>
  </si>
  <si>
    <t>Status</t>
  </si>
  <si>
    <t>Date Submitted</t>
  </si>
  <si>
    <t>Submitted By</t>
  </si>
  <si>
    <r>
      <t xml:space="preserve">Ressan Resus </t>
    </r>
    <r>
      <rPr>
        <sz val="7"/>
        <color rgb="FF333333"/>
        <rFont val="Arial"/>
        <family val="2"/>
      </rPr>
      <t>💬</t>
    </r>
  </si>
  <si>
    <t>Approved</t>
  </si>
  <si>
    <t>Christopher Borromeo</t>
  </si>
  <si>
    <t>2026-10-16 01:37:37</t>
  </si>
  <si>
    <t>Daemianne Ashley Belarmino</t>
  </si>
  <si>
    <t>Lyn Abellar</t>
  </si>
  <si>
    <t>2026-09-15 12:34:20</t>
  </si>
  <si>
    <t>2026-09-14 09:13:43</t>
  </si>
  <si>
    <t>2026-09-14 09:08:54</t>
  </si>
  <si>
    <r>
      <t xml:space="preserve">Roel Gutay </t>
    </r>
    <r>
      <rPr>
        <sz val="7"/>
        <color rgb="FF333333"/>
        <rFont val="Arial"/>
        <family val="2"/>
      </rPr>
      <t>💬</t>
    </r>
  </si>
  <si>
    <t>Denied</t>
  </si>
  <si>
    <t>Anne Valencia</t>
  </si>
  <si>
    <t>2026-09-14 07:16:48</t>
  </si>
  <si>
    <t>Roel Gutay</t>
  </si>
  <si>
    <r>
      <t xml:space="preserve">Jarrah Jane De Castro </t>
    </r>
    <r>
      <rPr>
        <sz val="7"/>
        <color rgb="FF333333"/>
        <rFont val="Arial"/>
        <family val="2"/>
      </rPr>
      <t>💬</t>
    </r>
  </si>
  <si>
    <t>2026-09-10 17:39:11</t>
  </si>
  <si>
    <t>Jarrah Jane De Castro</t>
  </si>
  <si>
    <t>2026-09-08 10:08:45</t>
  </si>
  <si>
    <t>2026-09-08 10:06:48</t>
  </si>
  <si>
    <t>2026-08-11 08:48:29</t>
  </si>
  <si>
    <t>2026-09-22 09:05:53</t>
  </si>
  <si>
    <t>2026-09-20 04:46:54</t>
  </si>
  <si>
    <t>2026-09-20 04:46:44</t>
  </si>
  <si>
    <t>2026-09-18 19:16:51</t>
  </si>
  <si>
    <t>2026-09-15 12:35:09</t>
  </si>
  <si>
    <r>
      <t xml:space="preserve">Contessa Cirujales </t>
    </r>
    <r>
      <rPr>
        <sz val="7"/>
        <color rgb="FF333333"/>
        <rFont val="Arial"/>
        <family val="2"/>
      </rPr>
      <t>💬</t>
    </r>
  </si>
  <si>
    <t>2026-09-13 16:58:32</t>
  </si>
  <si>
    <t>Contessa Cirujales</t>
  </si>
  <si>
    <t>2026-09-08 10:09:15</t>
  </si>
  <si>
    <t>2026-09-08 10:07:05</t>
  </si>
  <si>
    <t>2026-08-11 08:48:39</t>
  </si>
  <si>
    <t>2026-08-02 05:53:55</t>
  </si>
  <si>
    <t>Jackie Caballero</t>
  </si>
  <si>
    <r>
      <t xml:space="preserve">Ronald Balitos </t>
    </r>
    <r>
      <rPr>
        <sz val="7"/>
        <color rgb="FF333333"/>
        <rFont val="Arial"/>
        <family val="2"/>
      </rPr>
      <t>💬</t>
    </r>
  </si>
  <si>
    <t>2026-09-20 04:48:08</t>
  </si>
  <si>
    <t>2026-09-20 04:47:53</t>
  </si>
  <si>
    <r>
      <t xml:space="preserve">Jubell Matanguihan </t>
    </r>
    <r>
      <rPr>
        <sz val="7"/>
        <color rgb="FF333333"/>
        <rFont val="Arial"/>
        <family val="2"/>
      </rPr>
      <t>💬</t>
    </r>
  </si>
  <si>
    <t>2026-09-11 02:57:02</t>
  </si>
  <si>
    <t>Jubell Matanguihan</t>
  </si>
  <si>
    <t>Antonio Agda Jr.</t>
  </si>
  <si>
    <t>2026-09-01 18:27:01</t>
  </si>
  <si>
    <t>Anton Agda Jr.</t>
  </si>
  <si>
    <t>2026-09-21 17:23:36</t>
  </si>
  <si>
    <t>2026-09-21 08:42:00</t>
  </si>
  <si>
    <t>2026-09-20 04:49:22</t>
  </si>
  <si>
    <t>21:00 - 09:00</t>
  </si>
  <si>
    <t>2026-09-20 04:49:03</t>
  </si>
  <si>
    <t>2026-09-14 07:17:16</t>
  </si>
  <si>
    <t>2026-09-03 14:13:35</t>
  </si>
  <si>
    <t>Joseph Lamoste</t>
  </si>
  <si>
    <t>2026-08-11 08:49:14</t>
  </si>
  <si>
    <t>2026-09-20 04:49:52</t>
  </si>
  <si>
    <t>2026-09-15 11:52:50</t>
  </si>
  <si>
    <t>2026-09-15 08:54:15</t>
  </si>
  <si>
    <t>Chris Lajera</t>
  </si>
  <si>
    <t>2026-09-14 12:39:51</t>
  </si>
  <si>
    <t>Mark Llenos</t>
  </si>
  <si>
    <t>Jesse Rama</t>
  </si>
  <si>
    <t>2026-09-12 14:48:53</t>
  </si>
  <si>
    <r>
      <t xml:space="preserve">Nestor Abong Jr. </t>
    </r>
    <r>
      <rPr>
        <sz val="7"/>
        <color rgb="FF333333"/>
        <rFont val="Arial"/>
        <family val="2"/>
      </rPr>
      <t>💬</t>
    </r>
  </si>
  <si>
    <t>2026-08-01 02:25:01</t>
  </si>
  <si>
    <t>Nestor Abong Jr.</t>
  </si>
  <si>
    <t>2026-09-22 09:06:11</t>
  </si>
  <si>
    <t>2026-09-20 04:50:58</t>
  </si>
  <si>
    <t>Francis Ailo Bajao</t>
  </si>
  <si>
    <t>2026-08-18 22:05:07</t>
  </si>
  <si>
    <t>2026-09-22 09:06:29</t>
  </si>
  <si>
    <t>2026-09-01 11:59:23</t>
  </si>
  <si>
    <t>Jeffryl Pardillo</t>
  </si>
  <si>
    <r>
      <t xml:space="preserve">Nelson Tamayo </t>
    </r>
    <r>
      <rPr>
        <sz val="7"/>
        <color rgb="FF333333"/>
        <rFont val="Arial"/>
        <family val="2"/>
      </rPr>
      <t>💬</t>
    </r>
  </si>
  <si>
    <t>2026-08-23 04:14:38</t>
  </si>
  <si>
    <t>Nelson Tamayo</t>
  </si>
  <si>
    <t>2026-08-10 01:54:14</t>
  </si>
  <si>
    <t>2026-09-22 09:06:47</t>
  </si>
  <si>
    <t>2026-09-10 17:42:45</t>
  </si>
  <si>
    <t>2026-09-08 00:01:27</t>
  </si>
  <si>
    <t>2026-09-01 11:59:32</t>
  </si>
  <si>
    <r>
      <t xml:space="preserve">Brenda Lyn Degracia </t>
    </r>
    <r>
      <rPr>
        <sz val="7"/>
        <color rgb="FF333333"/>
        <rFont val="Arial"/>
        <family val="2"/>
      </rPr>
      <t>💬</t>
    </r>
  </si>
  <si>
    <t>2026-08-05 10:56:13</t>
  </si>
  <si>
    <t>Brenda Lyn Degracia</t>
  </si>
  <si>
    <t>2026-09-22 09:07:11</t>
  </si>
  <si>
    <t>2026-09-15 12:28:35</t>
  </si>
  <si>
    <t>2026-09-01 11:37:15</t>
  </si>
  <si>
    <t>Joshua Venzie Bagaporo</t>
  </si>
  <si>
    <t>2026-08-12 14:11:15</t>
  </si>
  <si>
    <t>Josh Bagaporo</t>
  </si>
  <si>
    <t>Samantha Dela Costa</t>
  </si>
  <si>
    <t>2026-10-12 12:17:26</t>
  </si>
  <si>
    <r>
      <t xml:space="preserve">Jhon Lloyd Camero </t>
    </r>
    <r>
      <rPr>
        <sz val="7"/>
        <color rgb="FF333333"/>
        <rFont val="Arial"/>
        <family val="2"/>
      </rPr>
      <t>💬</t>
    </r>
  </si>
  <si>
    <t>2026-10-11 04:00:46</t>
  </si>
  <si>
    <t>Jhon Lloyd Camero</t>
  </si>
  <si>
    <r>
      <t xml:space="preserve">Asleth Montemayor </t>
    </r>
    <r>
      <rPr>
        <sz val="7"/>
        <color rgb="FF333333"/>
        <rFont val="Arial"/>
        <family val="2"/>
      </rPr>
      <t>💬</t>
    </r>
  </si>
  <si>
    <t>2026-09-30 23:52:31</t>
  </si>
  <si>
    <t>Asleth Montemayor</t>
  </si>
  <si>
    <t>2026-09-01 11:37:25</t>
  </si>
  <si>
    <t>2026-08-12 14:11:25</t>
  </si>
  <si>
    <t>2026-10-16 01:01:00</t>
  </si>
  <si>
    <t>2026-08-12 14:12:13</t>
  </si>
  <si>
    <t>2026-10-15 04:34:38</t>
  </si>
  <si>
    <t>2026-09-14 07:18:18</t>
  </si>
  <si>
    <t>2026-09-07 15:16:39</t>
  </si>
  <si>
    <t>2026-08-12 14:11:38</t>
  </si>
  <si>
    <t>2026-10-23 04:23:37</t>
  </si>
  <si>
    <r>
      <t xml:space="preserve">Jose Saldy Rubio </t>
    </r>
    <r>
      <rPr>
        <sz val="7"/>
        <color rgb="FF333333"/>
        <rFont val="Arial"/>
        <family val="2"/>
      </rPr>
      <t>💬</t>
    </r>
  </si>
  <si>
    <t>2026-09-24 17:58:32</t>
  </si>
  <si>
    <t>Jose Saldy Rubio</t>
  </si>
  <si>
    <t>2026-10-23 04:24:04</t>
  </si>
  <si>
    <t>2026-09-24 17:58:43</t>
  </si>
  <si>
    <t>Roel Gutay 💬</t>
  </si>
  <si>
    <t>Jhon Lloyd Camero 💬</t>
  </si>
  <si>
    <t>Ronald Balitos 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</si>
</sst>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7"/>
      <color rgb="FF3333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left"/>
    </xf>
    <xf numFmtId="0" fontId="11" fillId="0" borderId="18" xfId="0" applyFont="1" applyBorder="1" applyAlignment="1">
      <alignment vertical="top" wrapText="1"/>
    </xf>
    <xf numFmtId="14" fontId="11" fillId="0" borderId="18" xfId="0" applyNumberFormat="1" applyFont="1" applyBorder="1" applyAlignment="1">
      <alignment vertical="top" wrapText="1"/>
    </xf>
    <xf numFmtId="0" fontId="11" fillId="5" borderId="18" xfId="0" applyFont="1" applyFill="1" applyBorder="1" applyAlignment="1">
      <alignment vertical="top" wrapText="1"/>
    </xf>
    <xf numFmtId="14" fontId="11" fillId="5" borderId="18" xfId="0" applyNumberFormat="1" applyFont="1" applyFill="1" applyBorder="1" applyAlignment="1">
      <alignment vertical="top" wrapText="1"/>
    </xf>
    <xf numFmtId="0" fontId="0" fillId="0" borderId="0" xfId="0" applyBorder="1"/>
    <xf numFmtId="0" fontId="7" fillId="7" borderId="0" xfId="0" applyFont="1" applyFill="1" applyBorder="1"/>
  </cellXfs>
  <cellStyles count="1">
    <cellStyle name="Normal" xfId="0" builtinId="0"/>
  </cellStyles>
  <dxfs count="15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4" headerRowBorderDxfId="13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2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4" activePane="bottomLeft" state="frozen"/>
      <selection pane="bottomLeft" activeCell="A55" sqref="A55"/>
    </sheetView>
  </sheetViews>
  <sheetFormatPr defaultRowHeight="14.4" x14ac:dyDescent="0.3"/>
  <cols>
    <col min="1" max="1" width="27.664062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 x14ac:dyDescent="0.3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 x14ac:dyDescent="0.3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 x14ac:dyDescent="0.3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 x14ac:dyDescent="0.3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 x14ac:dyDescent="0.3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 x14ac:dyDescent="0.3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 x14ac:dyDescent="0.3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 x14ac:dyDescent="0.3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 x14ac:dyDescent="0.3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 x14ac:dyDescent="0.3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 x14ac:dyDescent="0.3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 x14ac:dyDescent="0.3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 x14ac:dyDescent="0.3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 x14ac:dyDescent="0.3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 x14ac:dyDescent="0.3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 x14ac:dyDescent="0.3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 x14ac:dyDescent="0.3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 x14ac:dyDescent="0.3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 x14ac:dyDescent="0.3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 x14ac:dyDescent="0.3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 x14ac:dyDescent="0.3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 x14ac:dyDescent="0.3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 x14ac:dyDescent="0.3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 x14ac:dyDescent="0.3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 x14ac:dyDescent="0.3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 x14ac:dyDescent="0.3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 x14ac:dyDescent="0.3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 x14ac:dyDescent="0.3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 x14ac:dyDescent="0.3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 x14ac:dyDescent="0.3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 x14ac:dyDescent="0.3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 x14ac:dyDescent="0.3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 x14ac:dyDescent="0.3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 x14ac:dyDescent="0.3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 x14ac:dyDescent="0.3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 x14ac:dyDescent="0.3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 x14ac:dyDescent="0.3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 x14ac:dyDescent="0.3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 x14ac:dyDescent="0.3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 x14ac:dyDescent="0.3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 x14ac:dyDescent="0.3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 x14ac:dyDescent="0.3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 x14ac:dyDescent="0.3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 x14ac:dyDescent="0.3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 x14ac:dyDescent="0.3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 x14ac:dyDescent="0.3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 x14ac:dyDescent="0.3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 x14ac:dyDescent="0.3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 x14ac:dyDescent="0.3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 x14ac:dyDescent="0.3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 x14ac:dyDescent="0.3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1" priority="3" operator="equal">
      <formula>"OFF"</formula>
    </cfRule>
  </conditionalFormatting>
  <conditionalFormatting sqref="I56:I57">
    <cfRule type="cellIs" dxfId="10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4C8C-CFC6-4BCE-9082-33140BF9E8E9}">
  <dimension ref="A1:G20"/>
  <sheetViews>
    <sheetView workbookViewId="0">
      <selection activeCell="A11" sqref="A11:XFD11"/>
    </sheetView>
  </sheetViews>
  <sheetFormatPr defaultRowHeight="14.4" x14ac:dyDescent="0.3"/>
  <cols>
    <col min="1" max="7" width="21.33203125" customWidth="1"/>
  </cols>
  <sheetData>
    <row r="1" spans="1:7" ht="15" thickBot="1" x14ac:dyDescent="0.35">
      <c r="A1" s="77" t="s">
        <v>162</v>
      </c>
      <c r="B1" s="77" t="s">
        <v>163</v>
      </c>
      <c r="C1" s="77" t="s">
        <v>160</v>
      </c>
      <c r="D1" s="77" t="s">
        <v>164</v>
      </c>
      <c r="E1" s="77" t="s">
        <v>13</v>
      </c>
      <c r="F1" s="77" t="s">
        <v>165</v>
      </c>
      <c r="G1" s="77" t="s">
        <v>166</v>
      </c>
    </row>
    <row r="2" spans="1:7" ht="15" thickBot="1" x14ac:dyDescent="0.35">
      <c r="A2" s="78" t="s">
        <v>167</v>
      </c>
      <c r="B2" s="79">
        <v>46321</v>
      </c>
      <c r="C2" s="78" t="s">
        <v>83</v>
      </c>
      <c r="D2" s="78" t="s">
        <v>168</v>
      </c>
      <c r="E2" s="78" t="s">
        <v>169</v>
      </c>
      <c r="F2" s="78" t="s">
        <v>170</v>
      </c>
      <c r="G2" s="78" t="s">
        <v>169</v>
      </c>
    </row>
    <row r="3" spans="1:7" ht="15" thickBot="1" x14ac:dyDescent="0.35">
      <c r="A3" s="78" t="s">
        <v>122</v>
      </c>
      <c r="B3" s="79">
        <v>46321</v>
      </c>
      <c r="C3" s="78" t="s">
        <v>123</v>
      </c>
      <c r="D3" s="78" t="s">
        <v>168</v>
      </c>
      <c r="E3" s="78" t="s">
        <v>33</v>
      </c>
      <c r="F3" s="78" t="s">
        <v>173</v>
      </c>
      <c r="G3" s="78" t="s">
        <v>122</v>
      </c>
    </row>
    <row r="4" spans="1:7" ht="15" thickBot="1" x14ac:dyDescent="0.35">
      <c r="A4" s="78" t="s">
        <v>85</v>
      </c>
      <c r="B4" s="79">
        <v>46321</v>
      </c>
      <c r="C4" s="78" t="s">
        <v>64</v>
      </c>
      <c r="D4" s="78" t="s">
        <v>168</v>
      </c>
      <c r="E4" s="78" t="s">
        <v>19</v>
      </c>
      <c r="F4" s="78" t="s">
        <v>174</v>
      </c>
      <c r="G4" s="78" t="s">
        <v>85</v>
      </c>
    </row>
    <row r="5" spans="1:7" ht="15" thickBot="1" x14ac:dyDescent="0.35">
      <c r="A5" s="78" t="s">
        <v>70</v>
      </c>
      <c r="B5" s="79">
        <v>46321</v>
      </c>
      <c r="C5" s="78" t="s">
        <v>56</v>
      </c>
      <c r="D5" s="78" t="s">
        <v>168</v>
      </c>
      <c r="E5" s="78" t="s">
        <v>19</v>
      </c>
      <c r="F5" s="78" t="s">
        <v>175</v>
      </c>
      <c r="G5" s="78" t="s">
        <v>70</v>
      </c>
    </row>
    <row r="6" spans="1:7" ht="15" thickBot="1" x14ac:dyDescent="0.35">
      <c r="A6" s="78" t="s">
        <v>176</v>
      </c>
      <c r="B6" s="79">
        <v>46321</v>
      </c>
      <c r="C6" s="78" t="s">
        <v>64</v>
      </c>
      <c r="D6" s="78" t="s">
        <v>177</v>
      </c>
      <c r="E6" s="78" t="s">
        <v>178</v>
      </c>
      <c r="F6" s="78" t="s">
        <v>179</v>
      </c>
      <c r="G6" s="78" t="s">
        <v>180</v>
      </c>
    </row>
    <row r="7" spans="1:7" ht="15" thickBot="1" x14ac:dyDescent="0.35">
      <c r="A7" s="78" t="s">
        <v>181</v>
      </c>
      <c r="B7" s="79">
        <v>46321</v>
      </c>
      <c r="C7" s="78" t="s">
        <v>98</v>
      </c>
      <c r="D7" s="78" t="s">
        <v>168</v>
      </c>
      <c r="E7" s="78" t="s">
        <v>169</v>
      </c>
      <c r="F7" s="78" t="s">
        <v>182</v>
      </c>
      <c r="G7" s="78" t="s">
        <v>183</v>
      </c>
    </row>
    <row r="8" spans="1:7" ht="15" thickBot="1" x14ac:dyDescent="0.35">
      <c r="A8" s="78" t="s">
        <v>85</v>
      </c>
      <c r="B8" s="79">
        <v>46321</v>
      </c>
      <c r="C8" s="78" t="s">
        <v>64</v>
      </c>
      <c r="D8" s="78" t="s">
        <v>177</v>
      </c>
      <c r="E8" s="78" t="s">
        <v>19</v>
      </c>
      <c r="F8" s="78" t="s">
        <v>184</v>
      </c>
      <c r="G8" s="78" t="s">
        <v>85</v>
      </c>
    </row>
    <row r="9" spans="1:7" ht="15" thickBot="1" x14ac:dyDescent="0.35">
      <c r="A9" s="78" t="s">
        <v>70</v>
      </c>
      <c r="B9" s="79">
        <v>46321</v>
      </c>
      <c r="C9" s="78" t="s">
        <v>56</v>
      </c>
      <c r="D9" s="78" t="s">
        <v>177</v>
      </c>
      <c r="E9" s="78" t="s">
        <v>19</v>
      </c>
      <c r="F9" s="78" t="s">
        <v>185</v>
      </c>
      <c r="G9" s="78" t="s">
        <v>70</v>
      </c>
    </row>
    <row r="10" spans="1:7" ht="15" thickBot="1" x14ac:dyDescent="0.35">
      <c r="A10" s="78" t="s">
        <v>58</v>
      </c>
      <c r="B10" s="79">
        <v>46321</v>
      </c>
      <c r="C10" s="78" t="s">
        <v>35</v>
      </c>
      <c r="D10" s="78" t="s">
        <v>168</v>
      </c>
      <c r="E10" s="78" t="s">
        <v>178</v>
      </c>
      <c r="F10" s="78" t="s">
        <v>186</v>
      </c>
      <c r="G10" s="78" t="s">
        <v>58</v>
      </c>
    </row>
    <row r="11" spans="1:7" ht="15" thickBot="1" x14ac:dyDescent="0.35">
      <c r="A11" s="78" t="s">
        <v>171</v>
      </c>
      <c r="B11" s="79">
        <v>46322</v>
      </c>
      <c r="C11" s="78" t="s">
        <v>16</v>
      </c>
      <c r="D11" s="78" t="s">
        <v>168</v>
      </c>
      <c r="E11" s="78" t="s">
        <v>41</v>
      </c>
      <c r="F11" s="78" t="s">
        <v>187</v>
      </c>
      <c r="G11" s="78" t="s">
        <v>41</v>
      </c>
    </row>
    <row r="12" spans="1:7" ht="15" thickBot="1" x14ac:dyDescent="0.35">
      <c r="A12" s="78" t="s">
        <v>82</v>
      </c>
      <c r="B12" s="79">
        <v>46322</v>
      </c>
      <c r="C12" s="78" t="s">
        <v>31</v>
      </c>
      <c r="D12" s="78" t="s">
        <v>168</v>
      </c>
      <c r="E12" s="78" t="s">
        <v>172</v>
      </c>
      <c r="F12" s="78" t="s">
        <v>188</v>
      </c>
      <c r="G12" s="78" t="s">
        <v>172</v>
      </c>
    </row>
    <row r="13" spans="1:7" ht="15" thickBot="1" x14ac:dyDescent="0.35">
      <c r="A13" s="78" t="s">
        <v>50</v>
      </c>
      <c r="B13" s="79">
        <v>46322</v>
      </c>
      <c r="C13" s="78" t="s">
        <v>74</v>
      </c>
      <c r="D13" s="78" t="s">
        <v>168</v>
      </c>
      <c r="E13" s="78" t="s">
        <v>172</v>
      </c>
      <c r="F13" s="78" t="s">
        <v>189</v>
      </c>
      <c r="G13" s="78" t="s">
        <v>172</v>
      </c>
    </row>
    <row r="14" spans="1:7" ht="15" thickBot="1" x14ac:dyDescent="0.35">
      <c r="A14" s="78" t="s">
        <v>107</v>
      </c>
      <c r="B14" s="79">
        <v>46322</v>
      </c>
      <c r="C14" s="78" t="s">
        <v>66</v>
      </c>
      <c r="D14" s="78" t="s">
        <v>177</v>
      </c>
      <c r="E14" s="78" t="s">
        <v>19</v>
      </c>
      <c r="F14" s="78" t="s">
        <v>190</v>
      </c>
      <c r="G14" s="78" t="s">
        <v>107</v>
      </c>
    </row>
    <row r="15" spans="1:7" ht="15" thickBot="1" x14ac:dyDescent="0.35">
      <c r="A15" s="78" t="s">
        <v>122</v>
      </c>
      <c r="B15" s="79">
        <v>46322</v>
      </c>
      <c r="C15" s="78" t="s">
        <v>123</v>
      </c>
      <c r="D15" s="78" t="s">
        <v>168</v>
      </c>
      <c r="E15" s="78" t="s">
        <v>33</v>
      </c>
      <c r="F15" s="78" t="s">
        <v>191</v>
      </c>
      <c r="G15" s="78" t="s">
        <v>122</v>
      </c>
    </row>
    <row r="16" spans="1:7" ht="15" thickBot="1" x14ac:dyDescent="0.35">
      <c r="A16" s="78" t="s">
        <v>192</v>
      </c>
      <c r="B16" s="79">
        <v>46322</v>
      </c>
      <c r="C16" s="78" t="s">
        <v>21</v>
      </c>
      <c r="D16" s="78" t="s">
        <v>168</v>
      </c>
      <c r="E16" s="78" t="s">
        <v>169</v>
      </c>
      <c r="F16" s="78" t="s">
        <v>193</v>
      </c>
      <c r="G16" s="78" t="s">
        <v>194</v>
      </c>
    </row>
    <row r="17" spans="1:7" ht="15" thickBot="1" x14ac:dyDescent="0.35">
      <c r="A17" s="78" t="s">
        <v>85</v>
      </c>
      <c r="B17" s="79">
        <v>46322</v>
      </c>
      <c r="C17" s="78" t="s">
        <v>64</v>
      </c>
      <c r="D17" s="78" t="s">
        <v>168</v>
      </c>
      <c r="E17" s="78" t="s">
        <v>19</v>
      </c>
      <c r="F17" s="78" t="s">
        <v>195</v>
      </c>
      <c r="G17" s="78" t="s">
        <v>85</v>
      </c>
    </row>
    <row r="18" spans="1:7" ht="15" thickBot="1" x14ac:dyDescent="0.35">
      <c r="A18" s="78" t="s">
        <v>70</v>
      </c>
      <c r="B18" s="79">
        <v>46322</v>
      </c>
      <c r="C18" s="78" t="s">
        <v>56</v>
      </c>
      <c r="D18" s="78" t="s">
        <v>168</v>
      </c>
      <c r="E18" s="78" t="s">
        <v>19</v>
      </c>
      <c r="F18" s="78" t="s">
        <v>196</v>
      </c>
      <c r="G18" s="78" t="s">
        <v>70</v>
      </c>
    </row>
    <row r="19" spans="1:7" ht="15" thickBot="1" x14ac:dyDescent="0.35">
      <c r="A19" s="80" t="s">
        <v>58</v>
      </c>
      <c r="B19" s="81">
        <v>46322</v>
      </c>
      <c r="C19" s="80" t="s">
        <v>35</v>
      </c>
      <c r="D19" s="80" t="s">
        <v>168</v>
      </c>
      <c r="E19" s="80" t="s">
        <v>178</v>
      </c>
      <c r="F19" s="80" t="s">
        <v>197</v>
      </c>
      <c r="G19" s="80" t="s">
        <v>58</v>
      </c>
    </row>
    <row r="20" spans="1:7" x14ac:dyDescent="0.3">
      <c r="A20" s="78" t="s">
        <v>65</v>
      </c>
      <c r="B20" s="79">
        <v>46322</v>
      </c>
      <c r="C20" s="78" t="s">
        <v>66</v>
      </c>
      <c r="D20" s="78" t="s">
        <v>168</v>
      </c>
      <c r="E20" s="78" t="s">
        <v>41</v>
      </c>
      <c r="F20" s="78" t="s">
        <v>198</v>
      </c>
      <c r="G20" s="78" t="s">
        <v>199</v>
      </c>
    </row>
  </sheetData>
  <autoFilter ref="A1:G20" xr:uid="{5D304C8C-CFC6-4BCE-9082-33140BF9E8E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A3" sqref="A3:XFD3"/>
    </sheetView>
  </sheetViews>
  <sheetFormatPr defaultColWidth="9.109375" defaultRowHeight="14.4" x14ac:dyDescent="0.3"/>
  <cols>
    <col min="1" max="1" width="30.33203125" customWidth="1"/>
    <col min="2" max="8" width="13" customWidth="1"/>
    <col min="9" max="9" width="20" bestFit="1" customWidth="1"/>
    <col min="14" max="14" width="18.5546875" bestFit="1" customWidth="1"/>
    <col min="15" max="15" width="13.33203125" bestFit="1" customWidth="1"/>
    <col min="16" max="16" width="9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 x14ac:dyDescent="0.3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4.4" x14ac:dyDescent="0.3"/>
  <cols>
    <col min="1" max="1" width="24.5546875" bestFit="1" customWidth="1"/>
    <col min="2" max="3" width="11.44140625" customWidth="1"/>
    <col min="4" max="4" width="12.5546875" customWidth="1"/>
    <col min="5" max="8" width="11.44140625" customWidth="1"/>
    <col min="9" max="9" width="14" customWidth="1"/>
    <col min="10" max="11" width="9" customWidth="1"/>
    <col min="12" max="12" width="7.77734375" customWidth="1"/>
    <col min="13" max="13" width="9" customWidth="1"/>
    <col min="14" max="14" width="17.33203125" customWidth="1"/>
    <col min="15" max="15" width="12.6640625" bestFit="1" customWidth="1"/>
    <col min="16" max="16" width="8.88671875" customWidth="1"/>
  </cols>
  <sheetData>
    <row r="1" spans="1:16" x14ac:dyDescent="0.3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159</v>
      </c>
      <c r="P1" s="55" t="s">
        <v>158</v>
      </c>
    </row>
    <row r="2" spans="1:16" x14ac:dyDescent="0.3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 x14ac:dyDescent="0.3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 x14ac:dyDescent="0.3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147</v>
      </c>
      <c r="O4" s="3" t="s">
        <v>24</v>
      </c>
      <c r="P4">
        <f t="shared" si="0"/>
        <v>0</v>
      </c>
    </row>
    <row r="5" spans="1:16" x14ac:dyDescent="0.3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147</v>
      </c>
      <c r="O5" s="3" t="s">
        <v>28</v>
      </c>
      <c r="P5">
        <f t="shared" si="0"/>
        <v>0</v>
      </c>
    </row>
    <row r="6" spans="1:16" x14ac:dyDescent="0.3">
      <c r="A6" s="60" t="s">
        <v>148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 x14ac:dyDescent="0.3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 x14ac:dyDescent="0.3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149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 x14ac:dyDescent="0.3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 x14ac:dyDescent="0.3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150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 x14ac:dyDescent="0.3">
      <c r="A11" s="57" t="s">
        <v>151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147</v>
      </c>
      <c r="O11" s="3" t="s">
        <v>24</v>
      </c>
      <c r="P11">
        <f t="shared" si="0"/>
        <v>0</v>
      </c>
    </row>
    <row r="12" spans="1:16" x14ac:dyDescent="0.3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 x14ac:dyDescent="0.3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 x14ac:dyDescent="0.3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 x14ac:dyDescent="0.3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 x14ac:dyDescent="0.3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152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147</v>
      </c>
      <c r="O16" s="68" t="s">
        <v>21</v>
      </c>
      <c r="P16">
        <f t="shared" si="0"/>
        <v>1</v>
      </c>
    </row>
    <row r="17" spans="1:16" x14ac:dyDescent="0.3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147</v>
      </c>
      <c r="O17" s="3" t="s">
        <v>53</v>
      </c>
      <c r="P17">
        <f t="shared" si="0"/>
        <v>0</v>
      </c>
    </row>
    <row r="18" spans="1:16" x14ac:dyDescent="0.3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147</v>
      </c>
      <c r="O18" s="3" t="s">
        <v>24</v>
      </c>
      <c r="P18">
        <f t="shared" si="0"/>
        <v>0</v>
      </c>
    </row>
    <row r="19" spans="1:16" x14ac:dyDescent="0.3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 x14ac:dyDescent="0.3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 x14ac:dyDescent="0.3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 x14ac:dyDescent="0.3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 x14ac:dyDescent="0.3">
      <c r="A23" s="57" t="s">
        <v>59</v>
      </c>
      <c r="B23" s="1" t="s">
        <v>153</v>
      </c>
      <c r="C23" s="1" t="s">
        <v>153</v>
      </c>
      <c r="D23" s="1" t="s">
        <v>153</v>
      </c>
      <c r="E23" s="1" t="s">
        <v>153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153</v>
      </c>
      <c r="P23">
        <f t="shared" si="0"/>
        <v>0</v>
      </c>
    </row>
    <row r="24" spans="1:16" x14ac:dyDescent="0.3">
      <c r="A24" s="65" t="s">
        <v>154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 x14ac:dyDescent="0.3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 x14ac:dyDescent="0.3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 x14ac:dyDescent="0.3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 x14ac:dyDescent="0.3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 x14ac:dyDescent="0.3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 x14ac:dyDescent="0.3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 x14ac:dyDescent="0.3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 x14ac:dyDescent="0.3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149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147</v>
      </c>
      <c r="O32" s="3" t="s">
        <v>123</v>
      </c>
      <c r="P32">
        <f t="shared" si="0"/>
        <v>0</v>
      </c>
    </row>
    <row r="33" spans="1:16" x14ac:dyDescent="0.3">
      <c r="A33" s="57" t="s">
        <v>155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 x14ac:dyDescent="0.3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147</v>
      </c>
      <c r="O34" s="3" t="s">
        <v>24</v>
      </c>
      <c r="P34">
        <f t="shared" si="0"/>
        <v>0</v>
      </c>
    </row>
    <row r="35" spans="1:16" x14ac:dyDescent="0.3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147</v>
      </c>
      <c r="O35" s="3" t="s">
        <v>77</v>
      </c>
      <c r="P35">
        <f t="shared" si="0"/>
        <v>1</v>
      </c>
    </row>
    <row r="36" spans="1:16" x14ac:dyDescent="0.3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147</v>
      </c>
      <c r="O36" s="3" t="s">
        <v>45</v>
      </c>
      <c r="P36">
        <f t="shared" si="0"/>
        <v>0</v>
      </c>
    </row>
    <row r="37" spans="1:16" x14ac:dyDescent="0.3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 x14ac:dyDescent="0.3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147</v>
      </c>
      <c r="O38" s="68" t="s">
        <v>31</v>
      </c>
      <c r="P38">
        <f t="shared" si="0"/>
        <v>1</v>
      </c>
    </row>
    <row r="39" spans="1:16" x14ac:dyDescent="0.3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 x14ac:dyDescent="0.3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 x14ac:dyDescent="0.3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147</v>
      </c>
      <c r="O41" s="3" t="s">
        <v>21</v>
      </c>
      <c r="P41">
        <f t="shared" si="0"/>
        <v>1</v>
      </c>
    </row>
    <row r="42" spans="1:16" x14ac:dyDescent="0.3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 x14ac:dyDescent="0.3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 x14ac:dyDescent="0.3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 x14ac:dyDescent="0.3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 x14ac:dyDescent="0.3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 x14ac:dyDescent="0.3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147</v>
      </c>
      <c r="O47" s="3" t="s">
        <v>98</v>
      </c>
      <c r="P47">
        <f t="shared" si="0"/>
        <v>1</v>
      </c>
    </row>
    <row r="48" spans="1:16" x14ac:dyDescent="0.3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 x14ac:dyDescent="0.3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 x14ac:dyDescent="0.3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 x14ac:dyDescent="0.3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 x14ac:dyDescent="0.3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 x14ac:dyDescent="0.3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 x14ac:dyDescent="0.3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 x14ac:dyDescent="0.3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 x14ac:dyDescent="0.3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147</v>
      </c>
      <c r="O56" s="1" t="s">
        <v>74</v>
      </c>
      <c r="P56">
        <f t="shared" si="0"/>
        <v>1</v>
      </c>
    </row>
    <row r="57" spans="1:16" x14ac:dyDescent="0.3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 x14ac:dyDescent="0.3">
      <c r="A58" s="57" t="s">
        <v>156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 x14ac:dyDescent="0.3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 x14ac:dyDescent="0.3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 x14ac:dyDescent="0.3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 x14ac:dyDescent="0.3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 x14ac:dyDescent="0.3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147</v>
      </c>
      <c r="O63" s="3" t="s">
        <v>35</v>
      </c>
      <c r="P63">
        <f t="shared" si="0"/>
        <v>0</v>
      </c>
    </row>
    <row r="64" spans="1:16" x14ac:dyDescent="0.3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 x14ac:dyDescent="0.3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 x14ac:dyDescent="0.3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147</v>
      </c>
      <c r="O66" s="3" t="s">
        <v>68</v>
      </c>
      <c r="P66">
        <f t="shared" ref="P66:P68" si="1">IF(O66="OFF",0,
IF(VALUE(LEFT(O66,2))&lt;12,0,1))</f>
        <v>0</v>
      </c>
    </row>
    <row r="67" spans="1:16" x14ac:dyDescent="0.3">
      <c r="A67" s="65" t="s">
        <v>157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 x14ac:dyDescent="0.3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9" priority="8" operator="equal">
      <formula>"OFF"</formula>
    </cfRule>
  </conditionalFormatting>
  <conditionalFormatting sqref="I61:I62">
    <cfRule type="cellIs" dxfId="8" priority="7" operator="equal">
      <formula>"OFF"</formula>
    </cfRule>
  </conditionalFormatting>
  <conditionalFormatting sqref="O12:O14">
    <cfRule type="cellIs" dxfId="7" priority="4" operator="equal">
      <formula>"OFF"</formula>
    </cfRule>
  </conditionalFormatting>
  <conditionalFormatting sqref="O51:O56">
    <cfRule type="cellIs" dxfId="6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4.4" x14ac:dyDescent="0.3"/>
  <cols>
    <col min="1" max="1" width="24.5546875" bestFit="1" customWidth="1"/>
    <col min="2" max="8" width="11.44140625" bestFit="1" customWidth="1"/>
    <col min="9" max="9" width="14" bestFit="1" customWidth="1"/>
    <col min="10" max="13" width="8.44140625" style="73" bestFit="1" customWidth="1"/>
    <col min="14" max="14" width="17.33203125" bestFit="1" customWidth="1"/>
    <col min="15" max="15" width="14.33203125" customWidth="1"/>
  </cols>
  <sheetData>
    <row r="1" spans="1:16" x14ac:dyDescent="0.3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160</v>
      </c>
      <c r="P1" s="75" t="s">
        <v>158</v>
      </c>
    </row>
    <row r="2" spans="1:16" x14ac:dyDescent="0.3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 x14ac:dyDescent="0.3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 x14ac:dyDescent="0.3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 x14ac:dyDescent="0.3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 x14ac:dyDescent="0.3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 x14ac:dyDescent="0.3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 x14ac:dyDescent="0.3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 x14ac:dyDescent="0.3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 x14ac:dyDescent="0.3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 x14ac:dyDescent="0.3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 x14ac:dyDescent="0.3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 x14ac:dyDescent="0.3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 x14ac:dyDescent="0.3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 x14ac:dyDescent="0.3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 x14ac:dyDescent="0.3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 x14ac:dyDescent="0.3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 x14ac:dyDescent="0.3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 x14ac:dyDescent="0.3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 x14ac:dyDescent="0.3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 x14ac:dyDescent="0.3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 x14ac:dyDescent="0.3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 x14ac:dyDescent="0.3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161</v>
      </c>
      <c r="P23">
        <f t="shared" si="1"/>
        <v>0</v>
      </c>
    </row>
    <row r="24" spans="1:16" x14ac:dyDescent="0.3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 x14ac:dyDescent="0.3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 x14ac:dyDescent="0.3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 x14ac:dyDescent="0.3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 x14ac:dyDescent="0.3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 x14ac:dyDescent="0.3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 x14ac:dyDescent="0.3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 x14ac:dyDescent="0.3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 x14ac:dyDescent="0.3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 x14ac:dyDescent="0.3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 x14ac:dyDescent="0.3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 x14ac:dyDescent="0.3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 x14ac:dyDescent="0.3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 x14ac:dyDescent="0.3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 x14ac:dyDescent="0.3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 x14ac:dyDescent="0.3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 x14ac:dyDescent="0.3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 x14ac:dyDescent="0.3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 x14ac:dyDescent="0.3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 x14ac:dyDescent="0.3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 x14ac:dyDescent="0.3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 x14ac:dyDescent="0.3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 x14ac:dyDescent="0.3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 x14ac:dyDescent="0.3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 x14ac:dyDescent="0.3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 x14ac:dyDescent="0.3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 x14ac:dyDescent="0.3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 x14ac:dyDescent="0.3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 x14ac:dyDescent="0.3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 x14ac:dyDescent="0.3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 x14ac:dyDescent="0.3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 x14ac:dyDescent="0.3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 x14ac:dyDescent="0.3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 x14ac:dyDescent="0.3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 x14ac:dyDescent="0.3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 x14ac:dyDescent="0.3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 x14ac:dyDescent="0.3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 x14ac:dyDescent="0.3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 x14ac:dyDescent="0.3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 x14ac:dyDescent="0.3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 x14ac:dyDescent="0.3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 x14ac:dyDescent="0.3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 x14ac:dyDescent="0.3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 x14ac:dyDescent="0.3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 x14ac:dyDescent="0.3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abSelected="1" workbookViewId="0">
      <selection activeCell="C67" sqref="C67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554687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139</v>
      </c>
      <c r="C1" s="24" t="s">
        <v>140</v>
      </c>
      <c r="D1" s="24" t="s">
        <v>13</v>
      </c>
    </row>
    <row r="2" spans="1:4" x14ac:dyDescent="0.3">
      <c r="A2" s="16" t="s">
        <v>71</v>
      </c>
      <c r="B2" s="29">
        <v>46315</v>
      </c>
      <c r="C2" t="s">
        <v>141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141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141</v>
      </c>
      <c r="D4" t="str">
        <f>_xlfn.IFNA(VLOOKUP(A4,EST!A:N,14,FALSE),"")</f>
        <v>Remmo Panaligan</v>
      </c>
    </row>
    <row r="5" spans="1:4" x14ac:dyDescent="0.3">
      <c r="A5" t="s">
        <v>59</v>
      </c>
      <c r="B5" s="29">
        <v>46316</v>
      </c>
      <c r="C5" t="s">
        <v>141</v>
      </c>
      <c r="D5" t="str">
        <f>_xlfn.IFNA(VLOOKUP(A5,EST!A:N,14,FALSE),"")</f>
        <v>Michael Dominguez</v>
      </c>
    </row>
    <row r="6" spans="1:4" x14ac:dyDescent="0.3">
      <c r="A6" t="s">
        <v>89</v>
      </c>
      <c r="B6" s="29">
        <v>46317</v>
      </c>
      <c r="C6" t="s">
        <v>141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141</v>
      </c>
      <c r="D7" t="str">
        <f>_xlfn.IFNA(VLOOKUP(A7,EST!A:N,14,FALSE),"")</f>
        <v>Anmecha Valencia</v>
      </c>
    </row>
    <row r="8" spans="1:4" x14ac:dyDescent="0.3">
      <c r="A8" t="s">
        <v>59</v>
      </c>
      <c r="B8" s="29">
        <v>46317</v>
      </c>
      <c r="C8" t="s">
        <v>141</v>
      </c>
      <c r="D8" t="str">
        <f>_xlfn.IFNA(VLOOKUP(A8,EST!A:N,14,FALSE),"")</f>
        <v>Michael Dominguez</v>
      </c>
    </row>
    <row r="9" spans="1:4" x14ac:dyDescent="0.3">
      <c r="A9" t="s">
        <v>58</v>
      </c>
      <c r="B9" s="29">
        <v>46318</v>
      </c>
      <c r="C9" t="s">
        <v>141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141</v>
      </c>
      <c r="D10" t="str">
        <f>_xlfn.IFNA(VLOOKUP(A10,EST!A:N,14,FALSE),"")</f>
        <v>Michael Dominguez</v>
      </c>
    </row>
    <row r="11" spans="1:4" x14ac:dyDescent="0.3">
      <c r="A11" t="s">
        <v>118</v>
      </c>
      <c r="B11" s="29">
        <v>46318</v>
      </c>
      <c r="C11" t="s">
        <v>141</v>
      </c>
      <c r="D11" t="str">
        <f>_xlfn.IFNA(VLOOKUP(A11,EST!A:N,14,FALSE),"")</f>
        <v>Anmecha Valencia</v>
      </c>
    </row>
    <row r="12" spans="1:4" x14ac:dyDescent="0.3">
      <c r="A12" t="s">
        <v>50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s="10" t="s">
        <v>107</v>
      </c>
      <c r="B13" s="29">
        <v>46320</v>
      </c>
      <c r="C13" t="s">
        <v>141</v>
      </c>
      <c r="D13" t="str">
        <f>_xlfn.IFNA(VLOOKUP(A13,EST!A:N,14,FALSE),"")</f>
        <v>Remmo Panaligan</v>
      </c>
    </row>
    <row r="14" spans="1:4" x14ac:dyDescent="0.3">
      <c r="A14" t="s">
        <v>50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122</v>
      </c>
      <c r="B15" s="29">
        <v>46321</v>
      </c>
      <c r="C15" t="s">
        <v>141</v>
      </c>
      <c r="D15" t="str">
        <f>_xlfn.IFNA(VLOOKUP(A15,EST!A:N,14,FALSE),"")</f>
        <v>Michael Dominguez</v>
      </c>
    </row>
    <row r="16" spans="1:4" x14ac:dyDescent="0.3">
      <c r="A16" t="s">
        <v>85</v>
      </c>
      <c r="B16" s="29">
        <v>46321</v>
      </c>
      <c r="C16" t="s">
        <v>141</v>
      </c>
      <c r="D16" t="str">
        <f>_xlfn.IFNA(VLOOKUP(A16,EST!A:N,14,FALSE),"")</f>
        <v>Remmo Panaligan</v>
      </c>
    </row>
    <row r="17" spans="1:4" x14ac:dyDescent="0.3">
      <c r="A17" t="s">
        <v>70</v>
      </c>
      <c r="B17" s="29">
        <v>46321</v>
      </c>
      <c r="C17" t="s">
        <v>141</v>
      </c>
      <c r="D17" t="str">
        <f>_xlfn.IFNA(VLOOKUP(A17,EST!A:N,14,FALSE),"")</f>
        <v>Remmo Panaligan</v>
      </c>
    </row>
    <row r="18" spans="1:4" x14ac:dyDescent="0.3">
      <c r="A18" t="s">
        <v>58</v>
      </c>
      <c r="B18" s="29">
        <v>46321</v>
      </c>
      <c r="C18" t="s">
        <v>141</v>
      </c>
      <c r="D18" t="str">
        <f>_xlfn.IFNA(VLOOKUP(A18,EST!A:N,14,FALSE),"")</f>
        <v>Anmecha Valencia</v>
      </c>
    </row>
    <row r="19" spans="1:4" x14ac:dyDescent="0.3">
      <c r="A19" t="s">
        <v>122</v>
      </c>
      <c r="B19" s="29">
        <v>46322</v>
      </c>
      <c r="C19" t="s">
        <v>141</v>
      </c>
      <c r="D19" t="str">
        <f>_xlfn.IFNA(VLOOKUP(A19,EST!A:N,14,FALSE),"")</f>
        <v>Michael Dominguez</v>
      </c>
    </row>
    <row r="20" spans="1:4" x14ac:dyDescent="0.3">
      <c r="A20" t="s">
        <v>85</v>
      </c>
      <c r="B20" s="29">
        <v>46322</v>
      </c>
      <c r="C20" t="s">
        <v>141</v>
      </c>
      <c r="D20" t="str">
        <f>_xlfn.IFNA(VLOOKUP(A20,EST!A:N,14,FALSE),"")</f>
        <v>Remmo Panaligan</v>
      </c>
    </row>
    <row r="21" spans="1:4" x14ac:dyDescent="0.3">
      <c r="A21" t="s">
        <v>70</v>
      </c>
      <c r="B21" s="29">
        <v>46322</v>
      </c>
      <c r="C21" t="s">
        <v>141</v>
      </c>
      <c r="D21" t="str">
        <f>_xlfn.IFNA(VLOOKUP(A21,EST!A:N,14,FALSE),"")</f>
        <v>Remmo Panaligan</v>
      </c>
    </row>
    <row r="22" spans="1:4" x14ac:dyDescent="0.3">
      <c r="A22" t="s">
        <v>58</v>
      </c>
      <c r="B22" s="29">
        <v>46322</v>
      </c>
      <c r="C22" t="s">
        <v>141</v>
      </c>
      <c r="D22" t="str">
        <f>_xlfn.IFNA(VLOOKUP(A22,EST!A:N,14,FALSE),"")</f>
        <v>Anmecha Valencia</v>
      </c>
    </row>
    <row r="23" spans="1:4" x14ac:dyDescent="0.3">
      <c r="A23" t="s">
        <v>65</v>
      </c>
      <c r="B23" s="29">
        <v>46322</v>
      </c>
      <c r="C23" t="s">
        <v>141</v>
      </c>
      <c r="D23" t="str">
        <f>_xlfn.IFNA(VLOOKUP(A23,EST!A:N,14,FALSE),"")</f>
        <v>Christopher Rodas</v>
      </c>
    </row>
    <row r="24" spans="1:4" x14ac:dyDescent="0.3">
      <c r="A24" t="s">
        <v>82</v>
      </c>
      <c r="B24" s="29">
        <v>46322</v>
      </c>
      <c r="C24" t="s">
        <v>142</v>
      </c>
      <c r="D24" t="str">
        <f>_xlfn.IFNA(VLOOKUP(A24,EST!A:N,14,FALSE),"")</f>
        <v>Manilyn Abellar</v>
      </c>
    </row>
    <row r="25" spans="1:4" x14ac:dyDescent="0.3">
      <c r="A25" s="39" t="s">
        <v>50</v>
      </c>
      <c r="B25" s="29">
        <v>46322</v>
      </c>
      <c r="C25" t="s">
        <v>142</v>
      </c>
      <c r="D25" t="str">
        <f>_xlfn.IFNA(VLOOKUP(A25,EST!A:N,14,FALSE),"")</f>
        <v>Manilyn Abellar</v>
      </c>
    </row>
    <row r="26" spans="1:4" x14ac:dyDescent="0.3">
      <c r="A26" s="39" t="s">
        <v>65</v>
      </c>
      <c r="B26" s="29">
        <v>46323</v>
      </c>
      <c r="C26" t="s">
        <v>141</v>
      </c>
      <c r="D26" t="str">
        <f>_xlfn.IFNA(VLOOKUP(A26,EST!A:N,14,FALSE),"")</f>
        <v>Christopher Rodas</v>
      </c>
    </row>
    <row r="27" spans="1:4" x14ac:dyDescent="0.3">
      <c r="A27" t="s">
        <v>27</v>
      </c>
      <c r="B27" s="29">
        <v>46323</v>
      </c>
      <c r="C27" t="s">
        <v>141</v>
      </c>
      <c r="D27" t="str">
        <f>_xlfn.IFNA(VLOOKUP(A27,EST!A:N,14,FALSE),"")</f>
        <v>Manilyn Abellar</v>
      </c>
    </row>
    <row r="28" spans="1:4" x14ac:dyDescent="0.3">
      <c r="A28" s="83" t="s">
        <v>82</v>
      </c>
      <c r="B28" s="29">
        <v>46323</v>
      </c>
      <c r="C28" t="s">
        <v>142</v>
      </c>
      <c r="D28" t="str">
        <f>_xlfn.IFNA(VLOOKUP(A28,EST!A:N,14,FALSE),"")</f>
        <v>Manilyn Abellar</v>
      </c>
    </row>
    <row r="29" spans="1:4" x14ac:dyDescent="0.3">
      <c r="A29" t="s">
        <v>50</v>
      </c>
      <c r="B29" s="29">
        <v>46323</v>
      </c>
      <c r="C29" t="s">
        <v>142</v>
      </c>
      <c r="D29" t="str">
        <f>_xlfn.IFNA(VLOOKUP(A29,EST!A:N,14,FALSE),"")</f>
        <v>Manilyn Abellar</v>
      </c>
    </row>
    <row r="30" spans="1:4" x14ac:dyDescent="0.3">
      <c r="A30" s="82" t="s">
        <v>99</v>
      </c>
      <c r="B30" s="29">
        <v>46324</v>
      </c>
      <c r="C30" t="s">
        <v>141</v>
      </c>
      <c r="D30" t="str">
        <f>_xlfn.IFNA(VLOOKUP(A30,EST!A:N,14,FALSE),"")</f>
        <v>Remmo Panaligan</v>
      </c>
    </row>
    <row r="31" spans="1:4" x14ac:dyDescent="0.3">
      <c r="A31" s="82" t="s">
        <v>49</v>
      </c>
      <c r="B31" s="29">
        <v>46324</v>
      </c>
      <c r="C31" t="s">
        <v>141</v>
      </c>
      <c r="D31" t="str">
        <f>_xlfn.IFNA(VLOOKUP(A31,EST!A:N,14,FALSE),"")</f>
        <v>Christopher Rodas</v>
      </c>
    </row>
    <row r="32" spans="1:4" x14ac:dyDescent="0.3">
      <c r="A32" s="82" t="s">
        <v>58</v>
      </c>
      <c r="B32" s="29">
        <v>46324</v>
      </c>
      <c r="C32" t="s">
        <v>141</v>
      </c>
      <c r="D32" t="str">
        <f>_xlfn.IFNA(VLOOKUP(A32,EST!A:N,14,FALSE),"")</f>
        <v>Anmecha Valencia</v>
      </c>
    </row>
    <row r="33" spans="1:4" x14ac:dyDescent="0.3">
      <c r="A33" s="82" t="s">
        <v>89</v>
      </c>
      <c r="B33" s="29">
        <v>46324</v>
      </c>
      <c r="C33" t="s">
        <v>141</v>
      </c>
      <c r="D33" t="str">
        <f>_xlfn.IFNA(VLOOKUP(A33,EST!A:N,14,FALSE),"")</f>
        <v>Manilyn Abellar</v>
      </c>
    </row>
    <row r="34" spans="1:4" x14ac:dyDescent="0.3">
      <c r="A34" s="83" t="s">
        <v>82</v>
      </c>
      <c r="B34" s="29">
        <v>46324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82" t="s">
        <v>50</v>
      </c>
      <c r="B35" s="29">
        <v>46324</v>
      </c>
      <c r="C35" t="s">
        <v>142</v>
      </c>
      <c r="D35" t="str">
        <f>_xlfn.IFNA(VLOOKUP(A35,EST!A:N,14,FALSE),"")</f>
        <v>Manilyn Abellar</v>
      </c>
    </row>
    <row r="36" spans="1:4" x14ac:dyDescent="0.3">
      <c r="A36" s="82" t="s">
        <v>73</v>
      </c>
      <c r="B36" s="29">
        <v>46325</v>
      </c>
      <c r="C36" t="s">
        <v>141</v>
      </c>
      <c r="D36" t="str">
        <f>_xlfn.IFNA(VLOOKUP(A36,EST!A:N,14,FALSE),"")</f>
        <v>Manilyn Abellar</v>
      </c>
    </row>
    <row r="37" spans="1:4" x14ac:dyDescent="0.3">
      <c r="A37" s="83" t="s">
        <v>82</v>
      </c>
      <c r="B37" s="29">
        <v>46325</v>
      </c>
      <c r="C37" t="s">
        <v>142</v>
      </c>
      <c r="D37" t="str">
        <f>_xlfn.IFNA(VLOOKUP(A37,EST!A:N,14,FALSE),"")</f>
        <v>Manilyn Abellar</v>
      </c>
    </row>
    <row r="38" spans="1:4" x14ac:dyDescent="0.3">
      <c r="A38" s="82" t="s">
        <v>50</v>
      </c>
      <c r="B38" s="29">
        <v>46325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58</v>
      </c>
      <c r="B39" s="29">
        <v>46325</v>
      </c>
      <c r="C39" t="s">
        <v>141</v>
      </c>
      <c r="D39" t="str">
        <f>_xlfn.IFNA(VLOOKUP(A39,EST!A:N,14,FALSE),"")</f>
        <v>Anmecha Valencia</v>
      </c>
    </row>
    <row r="40" spans="1:4" x14ac:dyDescent="0.3">
      <c r="A40" t="s">
        <v>47</v>
      </c>
      <c r="B40" s="29">
        <v>46325</v>
      </c>
      <c r="C40" t="s">
        <v>141</v>
      </c>
      <c r="D40" t="str">
        <f>_xlfn.IFNA(VLOOKUP(A40,EST!A:N,14,FALSE),"")</f>
        <v>Michael Dominguez</v>
      </c>
    </row>
    <row r="41" spans="1:4" x14ac:dyDescent="0.3">
      <c r="A41" t="s">
        <v>23</v>
      </c>
      <c r="B41" s="29">
        <v>46325</v>
      </c>
      <c r="C41" t="s">
        <v>141</v>
      </c>
      <c r="D41" t="str">
        <f>_xlfn.IFNA(VLOOKUP(A41,EST!A:N,14,FALSE),"")</f>
        <v>Manilyn Abellar</v>
      </c>
    </row>
    <row r="42" spans="1:4" x14ac:dyDescent="0.3">
      <c r="A42" t="s">
        <v>60</v>
      </c>
      <c r="B42" s="29">
        <v>46326</v>
      </c>
      <c r="C42" t="s">
        <v>141</v>
      </c>
      <c r="D42" t="str">
        <f>_xlfn.IFNA(VLOOKUP(A42,EST!A:N,14,FALSE),"")</f>
        <v>Christopher Rodas</v>
      </c>
    </row>
    <row r="43" spans="1:4" x14ac:dyDescent="0.3">
      <c r="A43" s="83" t="s">
        <v>82</v>
      </c>
      <c r="B43" s="29">
        <v>46326</v>
      </c>
      <c r="C43" t="s">
        <v>142</v>
      </c>
      <c r="D43" t="str">
        <f>_xlfn.IFNA(VLOOKUP(A43,EST!A:N,14,FALSE),"")</f>
        <v>Manilyn Abellar</v>
      </c>
    </row>
    <row r="44" spans="1:4" x14ac:dyDescent="0.3">
      <c r="A44" t="s">
        <v>50</v>
      </c>
      <c r="B44" s="29">
        <v>46326</v>
      </c>
      <c r="C44" t="s">
        <v>142</v>
      </c>
      <c r="D44" t="str">
        <f>_xlfn.IFNA(VLOOKUP(A44,EST!A:N,14,FALSE),"")</f>
        <v>Manilyn Abellar</v>
      </c>
    </row>
    <row r="45" spans="1:4" x14ac:dyDescent="0.3">
      <c r="A45" t="s">
        <v>50</v>
      </c>
      <c r="B45" s="29">
        <v>46327</v>
      </c>
      <c r="C45" t="s">
        <v>142</v>
      </c>
      <c r="D45" t="str">
        <f>_xlfn.IFNA(VLOOKUP(A45,EST!A:N,14,FALSE),"")</f>
        <v>Manilyn Abellar</v>
      </c>
    </row>
    <row r="46" spans="1:4" x14ac:dyDescent="0.3">
      <c r="A46" t="s">
        <v>71</v>
      </c>
      <c r="B46" s="29">
        <v>46327</v>
      </c>
      <c r="C46" t="s">
        <v>141</v>
      </c>
      <c r="D46" t="str">
        <f>_xlfn.IFNA(VLOOKUP(A46,EST!A:N,14,FALSE),"")</f>
        <v>Christopher Rodas</v>
      </c>
    </row>
    <row r="47" spans="1:4" x14ac:dyDescent="0.3">
      <c r="A47" t="s">
        <v>108</v>
      </c>
      <c r="B47" s="29">
        <v>46327</v>
      </c>
      <c r="C47" t="s">
        <v>141</v>
      </c>
      <c r="D47" t="str">
        <f>_xlfn.IFNA(VLOOKUP(A47,EST!A:N,14,FALSE),"")</f>
        <v>Christopher Rodas</v>
      </c>
    </row>
    <row r="48" spans="1:4" x14ac:dyDescent="0.3">
      <c r="A48" t="s">
        <v>171</v>
      </c>
      <c r="B48" s="29">
        <v>46328</v>
      </c>
      <c r="C48" t="s">
        <v>142</v>
      </c>
      <c r="D48" t="str">
        <f>_xlfn.IFNA(VLOOKUP(A48,EST!A:N,14,FALSE),"")</f>
        <v/>
      </c>
    </row>
    <row r="49" spans="1:4" x14ac:dyDescent="0.3">
      <c r="A49" t="s">
        <v>89</v>
      </c>
      <c r="B49" s="29">
        <v>46328</v>
      </c>
      <c r="C49" t="s">
        <v>141</v>
      </c>
      <c r="D49" t="str">
        <f>_xlfn.IFNA(VLOOKUP(A49,EST!A:N,14,FALSE),"")</f>
        <v>Manilyn Abellar</v>
      </c>
    </row>
    <row r="50" spans="1:4" x14ac:dyDescent="0.3">
      <c r="A50" t="s">
        <v>71</v>
      </c>
      <c r="B50" s="29">
        <v>46328</v>
      </c>
      <c r="C50" t="s">
        <v>141</v>
      </c>
      <c r="D50" t="str">
        <f>_xlfn.IFNA(VLOOKUP(A50,EST!A:N,14,FALSE),"")</f>
        <v>Christopher Rodas</v>
      </c>
    </row>
    <row r="51" spans="1:4" x14ac:dyDescent="0.3">
      <c r="A51" t="s">
        <v>246</v>
      </c>
      <c r="B51" s="29">
        <v>46328</v>
      </c>
      <c r="C51" t="s">
        <v>141</v>
      </c>
      <c r="D51" t="str">
        <f>_xlfn.IFNA(VLOOKUP(A51,EST!A:N,14,FALSE),"")</f>
        <v/>
      </c>
    </row>
    <row r="52" spans="1:4" x14ac:dyDescent="0.3">
      <c r="A52" t="s">
        <v>171</v>
      </c>
      <c r="B52" s="29">
        <v>46329</v>
      </c>
      <c r="C52" t="s">
        <v>142</v>
      </c>
      <c r="D52" t="str">
        <f>_xlfn.IFNA(VLOOKUP(A52,EST!A:N,14,FALSE),"")</f>
        <v/>
      </c>
    </row>
    <row r="53" spans="1:4" x14ac:dyDescent="0.3">
      <c r="A53" t="s">
        <v>15</v>
      </c>
      <c r="B53" s="29">
        <v>46329</v>
      </c>
      <c r="C53" t="s">
        <v>141</v>
      </c>
      <c r="D53" t="str">
        <f>_xlfn.IFNA(VLOOKUP(A53,EST!A:N,14,FALSE),"")</f>
        <v>Remmo Panaligan</v>
      </c>
    </row>
    <row r="54" spans="1:4" x14ac:dyDescent="0.3">
      <c r="A54" t="s">
        <v>71</v>
      </c>
      <c r="B54" s="29">
        <v>46329</v>
      </c>
      <c r="C54" t="s">
        <v>141</v>
      </c>
      <c r="D54" t="str">
        <f>_xlfn.IFNA(VLOOKUP(A54,EST!A:N,14,FALSE),"")</f>
        <v>Christopher Rodas</v>
      </c>
    </row>
    <row r="55" spans="1:4" x14ac:dyDescent="0.3">
      <c r="A55" t="s">
        <v>90</v>
      </c>
      <c r="B55" s="29">
        <v>46329</v>
      </c>
      <c r="C55" t="s">
        <v>141</v>
      </c>
      <c r="D55" t="str">
        <f>_xlfn.IFNA(VLOOKUP(A55,EST!A:N,14,FALSE),"")</f>
        <v>Christopher Rodas</v>
      </c>
    </row>
    <row r="56" spans="1:4" x14ac:dyDescent="0.3">
      <c r="A56" t="s">
        <v>126</v>
      </c>
      <c r="B56" s="29">
        <v>46330</v>
      </c>
      <c r="C56" t="s">
        <v>141</v>
      </c>
      <c r="D56" t="str">
        <f>_xlfn.IFNA(VLOOKUP(A56,EST!A:N,14,FALSE),"")</f>
        <v>Anmecha Valencia</v>
      </c>
    </row>
    <row r="57" spans="1:4" x14ac:dyDescent="0.3">
      <c r="A57" t="s">
        <v>276</v>
      </c>
      <c r="B57" s="29">
        <v>46330</v>
      </c>
      <c r="C57" t="s">
        <v>141</v>
      </c>
      <c r="D57" t="str">
        <f>_xlfn.IFNA(VLOOKUP(A57,EST!A:N,14,FALSE),"")</f>
        <v/>
      </c>
    </row>
    <row r="58" spans="1:4" x14ac:dyDescent="0.3">
      <c r="A58" t="s">
        <v>71</v>
      </c>
      <c r="B58" s="29">
        <v>46330</v>
      </c>
      <c r="C58" t="s">
        <v>141</v>
      </c>
      <c r="D58" t="str">
        <f>_xlfn.IFNA(VLOOKUP(A58,EST!A:N,14,FALSE),"")</f>
        <v>Christopher Rodas</v>
      </c>
    </row>
    <row r="59" spans="1:4" x14ac:dyDescent="0.3">
      <c r="A59" t="s">
        <v>90</v>
      </c>
      <c r="B59" s="29">
        <v>46330</v>
      </c>
      <c r="C59" t="s">
        <v>141</v>
      </c>
      <c r="D59" t="str">
        <f>_xlfn.IFNA(VLOOKUP(A59,EST!A:N,14,FALSE),"")</f>
        <v>Christopher Rodas</v>
      </c>
    </row>
    <row r="60" spans="1:4" x14ac:dyDescent="0.3">
      <c r="A60" t="s">
        <v>277</v>
      </c>
      <c r="B60" s="29">
        <v>46331</v>
      </c>
      <c r="C60" t="s">
        <v>141</v>
      </c>
      <c r="D60" t="str">
        <f>_xlfn.IFNA(VLOOKUP(A60,EST!A:N,14,FALSE),"")</f>
        <v/>
      </c>
    </row>
    <row r="61" spans="1:4" x14ac:dyDescent="0.3">
      <c r="A61" t="s">
        <v>275</v>
      </c>
      <c r="B61" s="29">
        <v>46331</v>
      </c>
      <c r="C61" t="s">
        <v>141</v>
      </c>
      <c r="D61" t="str">
        <f>_xlfn.IFNA(VLOOKUP(A61,EST!A:N,14,FALSE),"")</f>
        <v/>
      </c>
    </row>
    <row r="62" spans="1:4" x14ac:dyDescent="0.3">
      <c r="A62" t="s">
        <v>89</v>
      </c>
      <c r="B62" s="29">
        <v>46331</v>
      </c>
      <c r="C62" t="s">
        <v>141</v>
      </c>
      <c r="D62" t="str">
        <f>_xlfn.IFNA(VLOOKUP(A62,EST!A:N,14,FALSE),"")</f>
        <v>Manilyn Abellar</v>
      </c>
    </row>
    <row r="63" spans="1:4" x14ac:dyDescent="0.3">
      <c r="A63" t="s">
        <v>90</v>
      </c>
      <c r="B63" s="29">
        <v>46331</v>
      </c>
      <c r="C63" t="s">
        <v>141</v>
      </c>
      <c r="D63" t="str">
        <f>_xlfn.IFNA(VLOOKUP(A63,EST!A:N,14,FALSE),"")</f>
        <v>Christopher Rodas</v>
      </c>
    </row>
    <row r="64" spans="1:4" x14ac:dyDescent="0.3">
      <c r="A64" t="s">
        <v>90</v>
      </c>
      <c r="B64" s="29">
        <v>46332</v>
      </c>
      <c r="C64" t="s">
        <v>141</v>
      </c>
      <c r="D64" t="str">
        <f>_xlfn.IFNA(VLOOKUP(A64,EST!A:N,14,FALSE),"")</f>
        <v>Christopher Rodas</v>
      </c>
    </row>
    <row r="65" spans="1:4" x14ac:dyDescent="0.3">
      <c r="A65" t="s">
        <v>171</v>
      </c>
      <c r="B65" s="29">
        <v>46333</v>
      </c>
      <c r="C65" t="s">
        <v>141</v>
      </c>
      <c r="D65" t="str">
        <f>_xlfn.IFNA(VLOOKUP(A65,EST!A:N,14,FALSE),"")</f>
        <v/>
      </c>
    </row>
    <row r="66" spans="1:4" x14ac:dyDescent="0.3">
      <c r="A66" t="s">
        <v>171</v>
      </c>
      <c r="B66" s="29">
        <v>46334</v>
      </c>
      <c r="C66" t="s">
        <v>141</v>
      </c>
      <c r="D66" t="str">
        <f>_xlfn.IFNA(VLOOKUP(A66,EST!A:N,14,FALSE),"")</f>
        <v/>
      </c>
    </row>
  </sheetData>
  <autoFilter ref="A1:D66" xr:uid="{7AC4105F-36DE-413B-8CE0-3469CE31C697}">
    <sortState xmlns:xlrd2="http://schemas.microsoft.com/office/spreadsheetml/2017/richdata2" ref="A2:D66">
      <sortCondition ref="B1:B35"/>
    </sortState>
  </autoFilter>
  <conditionalFormatting sqref="A2">
    <cfRule type="cellIs" dxfId="5" priority="2" operator="equal">
      <formula>"OFF"</formula>
    </cfRule>
  </conditionalFormatting>
  <conditionalFormatting sqref="A13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C12" sqref="C12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139</v>
      </c>
      <c r="C1" s="25" t="s">
        <v>140</v>
      </c>
      <c r="D1" s="25" t="s">
        <v>13</v>
      </c>
    </row>
    <row r="2" spans="1:4" x14ac:dyDescent="0.3">
      <c r="A2" s="26" t="s">
        <v>55</v>
      </c>
      <c r="B2" s="29">
        <v>46315</v>
      </c>
      <c r="C2" s="27" t="s">
        <v>143</v>
      </c>
      <c r="D2" t="str">
        <f>VLOOKUP(A2,EST!A:N,14,FALSE)</f>
        <v>Anmecha Valencia</v>
      </c>
    </row>
    <row r="3" spans="1:4" x14ac:dyDescent="0.3">
      <c r="A3" s="27" t="s">
        <v>67</v>
      </c>
      <c r="B3" s="29">
        <v>46316</v>
      </c>
      <c r="C3" s="27" t="s">
        <v>144</v>
      </c>
      <c r="D3" t="str">
        <f>VLOOKUP(A3,EST!A:N,14,FALSE)</f>
        <v>Michael Dominguez</v>
      </c>
    </row>
    <row r="4" spans="1:4" x14ac:dyDescent="0.3">
      <c r="A4" s="11" t="s">
        <v>55</v>
      </c>
      <c r="B4" s="29">
        <v>46316</v>
      </c>
      <c r="C4" s="27" t="s">
        <v>145</v>
      </c>
      <c r="D4" t="str">
        <f>VLOOKUP(A4,EST!A:N,14,FALSE)</f>
        <v>Anmecha Valencia</v>
      </c>
    </row>
    <row r="5" spans="1:4" x14ac:dyDescent="0.3">
      <c r="A5" s="27" t="s">
        <v>93</v>
      </c>
      <c r="B5" s="29">
        <v>46316</v>
      </c>
      <c r="C5" s="27" t="s">
        <v>146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143</v>
      </c>
      <c r="D6" t="str">
        <f>VLOOKUP(A6,EST!A:N,14,FALSE)</f>
        <v>Manilyn Abellar</v>
      </c>
    </row>
    <row r="7" spans="1:4" x14ac:dyDescent="0.3">
      <c r="A7" s="11" t="s">
        <v>126</v>
      </c>
      <c r="B7" s="29">
        <v>46318</v>
      </c>
      <c r="C7" s="27" t="s">
        <v>143</v>
      </c>
      <c r="D7" t="str">
        <f>VLOOKUP(A7,EST!A:N,14,FALSE)</f>
        <v>Anmecha Valencia</v>
      </c>
    </row>
    <row r="8" spans="1:4" x14ac:dyDescent="0.3">
      <c r="A8" s="27" t="s">
        <v>112</v>
      </c>
      <c r="B8" s="29">
        <v>46319</v>
      </c>
      <c r="C8" s="27" t="s">
        <v>143</v>
      </c>
      <c r="D8" t="str">
        <f>_xlfn.IFNA(VLOOKUP(A8,EST!A:N,14,FALSE),"")</f>
        <v>Christopher Rodas</v>
      </c>
    </row>
    <row r="9" spans="1:4" x14ac:dyDescent="0.3">
      <c r="A9" s="27" t="s">
        <v>118</v>
      </c>
      <c r="B9" s="29">
        <v>46319</v>
      </c>
      <c r="C9" s="27" t="s">
        <v>143</v>
      </c>
      <c r="D9" t="str">
        <f>_xlfn.IFNA(VLOOKUP(A9,EST!A:N,14,FALSE),"")</f>
        <v>Anmecha Valencia</v>
      </c>
    </row>
    <row r="10" spans="1:4" x14ac:dyDescent="0.3">
      <c r="A10" s="27" t="s">
        <v>112</v>
      </c>
      <c r="B10" s="29">
        <v>46320</v>
      </c>
      <c r="C10" s="27" t="s">
        <v>143</v>
      </c>
      <c r="D10" t="str">
        <f>_xlfn.IFNA(VLOOKUP(A10,EST!A:N,14,FALSE),"")</f>
        <v>Christopher Rodas</v>
      </c>
    </row>
    <row r="11" spans="1:4" x14ac:dyDescent="0.3">
      <c r="A11" s="11" t="s">
        <v>124</v>
      </c>
      <c r="B11" s="29">
        <v>46320</v>
      </c>
      <c r="C11" s="27" t="s">
        <v>143</v>
      </c>
      <c r="D11" t="str">
        <f>_xlfn.IFNA(VLOOKUP(A11,EST!A:N,14,FALSE),"")</f>
        <v>Michael Dominguez</v>
      </c>
    </row>
    <row r="12" spans="1:4" x14ac:dyDescent="0.3">
      <c r="A12" s="16" t="s">
        <v>114</v>
      </c>
      <c r="B12" s="29">
        <v>46320</v>
      </c>
      <c r="C12" s="27" t="s">
        <v>143</v>
      </c>
      <c r="D12" t="str">
        <f>_xlfn.IFNA(VLOOKUP(A12,EST!A:N,14,FALSE),"")</f>
        <v>Christopher Rodas</v>
      </c>
    </row>
    <row r="13" spans="1:4" x14ac:dyDescent="0.3">
      <c r="A13" s="27" t="s">
        <v>118</v>
      </c>
      <c r="B13" s="29">
        <v>46320</v>
      </c>
      <c r="C13" s="27" t="s">
        <v>143</v>
      </c>
      <c r="D13" t="str">
        <f>_xlfn.IFNA(VLOOKUP(A13,EST!A:N,14,FALSE),"")</f>
        <v>Anmecha Valencia</v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3" priority="6" operator="equal">
      <formula>"OFF"</formula>
    </cfRule>
  </conditionalFormatting>
  <conditionalFormatting sqref="A4">
    <cfRule type="cellIs" dxfId="2" priority="5" operator="equal">
      <formula>"OFF"</formula>
    </cfRule>
  </conditionalFormatting>
  <conditionalFormatting sqref="A6:A7">
    <cfRule type="cellIs" dxfId="1" priority="3" operator="equal">
      <formula>"OFF"</formula>
    </cfRule>
  </conditionalFormatting>
  <conditionalFormatting sqref="A11:A12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072B-F3C7-4A08-AEA7-6139B9459F73}">
  <sheetPr filterMode="1"/>
  <dimension ref="A1:G53"/>
  <sheetViews>
    <sheetView workbookViewId="0">
      <selection activeCell="B52" sqref="A5:B52"/>
    </sheetView>
  </sheetViews>
  <sheetFormatPr defaultRowHeight="14.4" x14ac:dyDescent="0.3"/>
  <cols>
    <col min="1" max="1" width="36.88671875" customWidth="1"/>
    <col min="2" max="2" width="15.33203125" customWidth="1"/>
    <col min="3" max="6" width="17" customWidth="1"/>
    <col min="7" max="7" width="33.88671875" customWidth="1"/>
  </cols>
  <sheetData>
    <row r="1" spans="1:7" ht="15" thickBot="1" x14ac:dyDescent="0.35">
      <c r="A1" s="77" t="s">
        <v>162</v>
      </c>
      <c r="B1" s="77" t="s">
        <v>163</v>
      </c>
      <c r="C1" s="77" t="s">
        <v>160</v>
      </c>
      <c r="D1" s="77" t="s">
        <v>164</v>
      </c>
      <c r="E1" s="77" t="s">
        <v>13</v>
      </c>
      <c r="F1" s="77" t="s">
        <v>165</v>
      </c>
      <c r="G1" s="77" t="s">
        <v>166</v>
      </c>
    </row>
    <row r="2" spans="1:7" ht="15" hidden="1" thickBot="1" x14ac:dyDescent="0.35">
      <c r="A2" s="78" t="s">
        <v>167</v>
      </c>
      <c r="B2" s="79">
        <v>46321</v>
      </c>
      <c r="C2" s="78" t="s">
        <v>83</v>
      </c>
      <c r="D2" s="78" t="s">
        <v>168</v>
      </c>
      <c r="E2" s="78" t="s">
        <v>169</v>
      </c>
      <c r="F2" s="78" t="s">
        <v>170</v>
      </c>
      <c r="G2" s="78" t="s">
        <v>169</v>
      </c>
    </row>
    <row r="3" spans="1:7" ht="15" hidden="1" thickBot="1" x14ac:dyDescent="0.35">
      <c r="A3" s="78" t="s">
        <v>181</v>
      </c>
      <c r="B3" s="79">
        <v>46321</v>
      </c>
      <c r="C3" s="78" t="s">
        <v>98</v>
      </c>
      <c r="D3" s="78" t="s">
        <v>168</v>
      </c>
      <c r="E3" s="78" t="s">
        <v>169</v>
      </c>
      <c r="F3" s="78" t="s">
        <v>182</v>
      </c>
      <c r="G3" s="78" t="s">
        <v>183</v>
      </c>
    </row>
    <row r="4" spans="1:7" ht="15" hidden="1" thickBot="1" x14ac:dyDescent="0.35">
      <c r="A4" s="78" t="s">
        <v>192</v>
      </c>
      <c r="B4" s="79">
        <v>46322</v>
      </c>
      <c r="C4" s="78" t="s">
        <v>21</v>
      </c>
      <c r="D4" s="78" t="s">
        <v>168</v>
      </c>
      <c r="E4" s="78" t="s">
        <v>169</v>
      </c>
      <c r="F4" s="78" t="s">
        <v>193</v>
      </c>
      <c r="G4" s="78" t="s">
        <v>194</v>
      </c>
    </row>
    <row r="5" spans="1:7" ht="15" thickBot="1" x14ac:dyDescent="0.35">
      <c r="A5" s="78" t="s">
        <v>82</v>
      </c>
      <c r="B5" s="79">
        <v>46323</v>
      </c>
      <c r="C5" s="78" t="s">
        <v>31</v>
      </c>
      <c r="D5" s="78" t="s">
        <v>168</v>
      </c>
      <c r="E5" s="78" t="s">
        <v>172</v>
      </c>
      <c r="F5" s="78" t="s">
        <v>201</v>
      </c>
      <c r="G5" s="78" t="s">
        <v>172</v>
      </c>
    </row>
    <row r="6" spans="1:7" ht="15" thickBot="1" x14ac:dyDescent="0.35">
      <c r="A6" s="78" t="s">
        <v>50</v>
      </c>
      <c r="B6" s="79">
        <v>46323</v>
      </c>
      <c r="C6" s="78" t="s">
        <v>74</v>
      </c>
      <c r="D6" s="78" t="s">
        <v>168</v>
      </c>
      <c r="E6" s="78" t="s">
        <v>172</v>
      </c>
      <c r="F6" s="78" t="s">
        <v>202</v>
      </c>
      <c r="G6" s="78" t="s">
        <v>172</v>
      </c>
    </row>
    <row r="7" spans="1:7" ht="15" hidden="1" thickBot="1" x14ac:dyDescent="0.35">
      <c r="A7" s="78" t="s">
        <v>203</v>
      </c>
      <c r="B7" s="79">
        <v>46323</v>
      </c>
      <c r="C7" s="78" t="s">
        <v>72</v>
      </c>
      <c r="D7" s="78" t="s">
        <v>168</v>
      </c>
      <c r="E7" s="78" t="s">
        <v>169</v>
      </c>
      <c r="F7" s="78" t="s">
        <v>204</v>
      </c>
      <c r="G7" s="78" t="s">
        <v>205</v>
      </c>
    </row>
    <row r="8" spans="1:7" ht="15" thickBot="1" x14ac:dyDescent="0.35">
      <c r="A8" s="78" t="s">
        <v>206</v>
      </c>
      <c r="B8" s="79">
        <v>46323</v>
      </c>
      <c r="C8" s="78" t="s">
        <v>28</v>
      </c>
      <c r="D8" s="78" t="s">
        <v>168</v>
      </c>
      <c r="E8" s="78" t="s">
        <v>172</v>
      </c>
      <c r="F8" s="78" t="s">
        <v>207</v>
      </c>
      <c r="G8" s="78" t="s">
        <v>208</v>
      </c>
    </row>
    <row r="9" spans="1:7" ht="15" thickBot="1" x14ac:dyDescent="0.35">
      <c r="A9" s="80" t="s">
        <v>65</v>
      </c>
      <c r="B9" s="81">
        <v>46323</v>
      </c>
      <c r="C9" s="80" t="s">
        <v>66</v>
      </c>
      <c r="D9" s="80" t="s">
        <v>168</v>
      </c>
      <c r="E9" s="80" t="s">
        <v>41</v>
      </c>
      <c r="F9" s="80" t="s">
        <v>198</v>
      </c>
      <c r="G9" s="80" t="s">
        <v>199</v>
      </c>
    </row>
    <row r="10" spans="1:7" ht="15" thickBot="1" x14ac:dyDescent="0.35">
      <c r="A10" s="78" t="s">
        <v>99</v>
      </c>
      <c r="B10" s="79">
        <v>46324</v>
      </c>
      <c r="C10" s="78" t="s">
        <v>24</v>
      </c>
      <c r="D10" s="78" t="s">
        <v>168</v>
      </c>
      <c r="E10" s="78" t="s">
        <v>19</v>
      </c>
      <c r="F10" s="78" t="s">
        <v>209</v>
      </c>
      <c r="G10" s="78" t="s">
        <v>99</v>
      </c>
    </row>
    <row r="11" spans="1:7" ht="15" thickBot="1" x14ac:dyDescent="0.35">
      <c r="A11" s="78" t="s">
        <v>49</v>
      </c>
      <c r="B11" s="79">
        <v>46324</v>
      </c>
      <c r="C11" s="78" t="s">
        <v>28</v>
      </c>
      <c r="D11" s="78" t="s">
        <v>168</v>
      </c>
      <c r="E11" s="78" t="s">
        <v>41</v>
      </c>
      <c r="F11" s="78" t="s">
        <v>210</v>
      </c>
      <c r="G11" s="78" t="s">
        <v>49</v>
      </c>
    </row>
    <row r="12" spans="1:7" ht="15" thickBot="1" x14ac:dyDescent="0.35">
      <c r="A12" s="78" t="s">
        <v>82</v>
      </c>
      <c r="B12" s="79">
        <v>46324</v>
      </c>
      <c r="C12" s="78" t="s">
        <v>31</v>
      </c>
      <c r="D12" s="78" t="s">
        <v>168</v>
      </c>
      <c r="E12" s="78" t="s">
        <v>172</v>
      </c>
      <c r="F12" s="78" t="s">
        <v>211</v>
      </c>
      <c r="G12" s="78" t="s">
        <v>172</v>
      </c>
    </row>
    <row r="13" spans="1:7" ht="15" thickBot="1" x14ac:dyDescent="0.35">
      <c r="A13" s="78" t="s">
        <v>154</v>
      </c>
      <c r="B13" s="79">
        <v>46324</v>
      </c>
      <c r="C13" s="78" t="s">
        <v>212</v>
      </c>
      <c r="D13" s="78" t="s">
        <v>168</v>
      </c>
      <c r="E13" s="78" t="s">
        <v>41</v>
      </c>
      <c r="F13" s="78" t="s">
        <v>213</v>
      </c>
      <c r="G13" s="78" t="s">
        <v>172</v>
      </c>
    </row>
    <row r="14" spans="1:7" ht="15" thickBot="1" x14ac:dyDescent="0.35">
      <c r="A14" s="78" t="s">
        <v>176</v>
      </c>
      <c r="B14" s="79">
        <v>46324</v>
      </c>
      <c r="C14" s="78" t="s">
        <v>64</v>
      </c>
      <c r="D14" s="78" t="s">
        <v>168</v>
      </c>
      <c r="E14" s="78" t="s">
        <v>178</v>
      </c>
      <c r="F14" s="78" t="s">
        <v>214</v>
      </c>
      <c r="G14" s="78" t="s">
        <v>180</v>
      </c>
    </row>
    <row r="15" spans="1:7" ht="15" thickBot="1" x14ac:dyDescent="0.35">
      <c r="A15" s="78" t="s">
        <v>89</v>
      </c>
      <c r="B15" s="79">
        <v>46324</v>
      </c>
      <c r="C15" s="78" t="s">
        <v>21</v>
      </c>
      <c r="D15" s="78" t="s">
        <v>168</v>
      </c>
      <c r="E15" s="78" t="s">
        <v>172</v>
      </c>
      <c r="F15" s="78" t="s">
        <v>215</v>
      </c>
      <c r="G15" s="78" t="s">
        <v>216</v>
      </c>
    </row>
    <row r="16" spans="1:7" ht="15" thickBot="1" x14ac:dyDescent="0.35">
      <c r="A16" s="80" t="s">
        <v>58</v>
      </c>
      <c r="B16" s="81">
        <v>46324</v>
      </c>
      <c r="C16" s="80" t="s">
        <v>35</v>
      </c>
      <c r="D16" s="80" t="s">
        <v>168</v>
      </c>
      <c r="E16" s="80" t="s">
        <v>178</v>
      </c>
      <c r="F16" s="80" t="s">
        <v>217</v>
      </c>
      <c r="G16" s="80" t="s">
        <v>58</v>
      </c>
    </row>
    <row r="17" spans="1:7" ht="15" thickBot="1" x14ac:dyDescent="0.35">
      <c r="A17" s="78" t="s">
        <v>154</v>
      </c>
      <c r="B17" s="79">
        <v>46325</v>
      </c>
      <c r="C17" s="78" t="s">
        <v>212</v>
      </c>
      <c r="D17" s="78" t="s">
        <v>168</v>
      </c>
      <c r="E17" s="78" t="s">
        <v>41</v>
      </c>
      <c r="F17" s="78" t="s">
        <v>218</v>
      </c>
      <c r="G17" s="78" t="s">
        <v>172</v>
      </c>
    </row>
    <row r="18" spans="1:7" ht="15" thickBot="1" x14ac:dyDescent="0.35">
      <c r="A18" s="78" t="s">
        <v>58</v>
      </c>
      <c r="B18" s="79">
        <v>46325</v>
      </c>
      <c r="C18" s="78" t="s">
        <v>35</v>
      </c>
      <c r="D18" s="78" t="s">
        <v>168</v>
      </c>
      <c r="E18" s="78" t="s">
        <v>178</v>
      </c>
      <c r="F18" s="78" t="s">
        <v>219</v>
      </c>
      <c r="G18" s="78" t="s">
        <v>58</v>
      </c>
    </row>
    <row r="19" spans="1:7" ht="15" thickBot="1" x14ac:dyDescent="0.35">
      <c r="A19" s="78" t="s">
        <v>47</v>
      </c>
      <c r="B19" s="79">
        <v>46325</v>
      </c>
      <c r="C19" s="78" t="s">
        <v>35</v>
      </c>
      <c r="D19" s="78" t="s">
        <v>168</v>
      </c>
      <c r="E19" s="78" t="s">
        <v>33</v>
      </c>
      <c r="F19" s="78" t="s">
        <v>220</v>
      </c>
      <c r="G19" s="78" t="s">
        <v>221</v>
      </c>
    </row>
    <row r="20" spans="1:7" ht="15" thickBot="1" x14ac:dyDescent="0.35">
      <c r="A20" s="78" t="s">
        <v>23</v>
      </c>
      <c r="B20" s="79">
        <v>46325</v>
      </c>
      <c r="C20" s="78" t="s">
        <v>24</v>
      </c>
      <c r="D20" s="78" t="s">
        <v>168</v>
      </c>
      <c r="E20" s="78" t="s">
        <v>172</v>
      </c>
      <c r="F20" s="78" t="s">
        <v>222</v>
      </c>
      <c r="G20" s="78" t="s">
        <v>223</v>
      </c>
    </row>
    <row r="21" spans="1:7" ht="15" thickBot="1" x14ac:dyDescent="0.35">
      <c r="A21" s="78" t="s">
        <v>224</v>
      </c>
      <c r="B21" s="79">
        <v>46325</v>
      </c>
      <c r="C21" s="78" t="s">
        <v>74</v>
      </c>
      <c r="D21" s="78" t="s">
        <v>168</v>
      </c>
      <c r="E21" s="78" t="s">
        <v>172</v>
      </c>
      <c r="F21" s="78" t="s">
        <v>225</v>
      </c>
      <c r="G21" s="78" t="s">
        <v>224</v>
      </c>
    </row>
    <row r="22" spans="1:7" ht="15" thickBot="1" x14ac:dyDescent="0.35">
      <c r="A22" s="80" t="s">
        <v>226</v>
      </c>
      <c r="B22" s="81">
        <v>46325</v>
      </c>
      <c r="C22" s="80" t="s">
        <v>35</v>
      </c>
      <c r="D22" s="80" t="s">
        <v>168</v>
      </c>
      <c r="E22" s="80" t="s">
        <v>33</v>
      </c>
      <c r="F22" s="80" t="s">
        <v>227</v>
      </c>
      <c r="G22" s="80" t="s">
        <v>228</v>
      </c>
    </row>
    <row r="23" spans="1:7" ht="15" thickBot="1" x14ac:dyDescent="0.35">
      <c r="A23" s="78" t="s">
        <v>171</v>
      </c>
      <c r="B23" s="79">
        <v>46326</v>
      </c>
      <c r="C23" s="78" t="s">
        <v>16</v>
      </c>
      <c r="D23" s="78" t="s">
        <v>168</v>
      </c>
      <c r="E23" s="78" t="s">
        <v>41</v>
      </c>
      <c r="F23" s="78" t="s">
        <v>229</v>
      </c>
      <c r="G23" s="78" t="s">
        <v>41</v>
      </c>
    </row>
    <row r="24" spans="1:7" ht="15" thickBot="1" x14ac:dyDescent="0.35">
      <c r="A24" s="78" t="s">
        <v>154</v>
      </c>
      <c r="B24" s="79">
        <v>46326</v>
      </c>
      <c r="C24" s="78" t="s">
        <v>212</v>
      </c>
      <c r="D24" s="78" t="s">
        <v>168</v>
      </c>
      <c r="E24" s="78" t="s">
        <v>41</v>
      </c>
      <c r="F24" s="78" t="s">
        <v>230</v>
      </c>
      <c r="G24" s="78" t="s">
        <v>172</v>
      </c>
    </row>
    <row r="25" spans="1:7" ht="15" thickBot="1" x14ac:dyDescent="0.35">
      <c r="A25" s="78" t="s">
        <v>231</v>
      </c>
      <c r="B25" s="79">
        <v>46326</v>
      </c>
      <c r="C25" s="78" t="s">
        <v>61</v>
      </c>
      <c r="D25" s="78" t="s">
        <v>168</v>
      </c>
      <c r="E25" s="78" t="s">
        <v>41</v>
      </c>
      <c r="F25" s="78" t="s">
        <v>232</v>
      </c>
      <c r="G25" s="78" t="s">
        <v>60</v>
      </c>
    </row>
    <row r="26" spans="1:7" ht="15" thickBot="1" x14ac:dyDescent="0.35">
      <c r="A26" s="78" t="s">
        <v>171</v>
      </c>
      <c r="B26" s="79">
        <v>46327</v>
      </c>
      <c r="C26" s="78" t="s">
        <v>16</v>
      </c>
      <c r="D26" s="78" t="s">
        <v>168</v>
      </c>
      <c r="E26" s="78" t="s">
        <v>41</v>
      </c>
      <c r="F26" s="78" t="s">
        <v>233</v>
      </c>
      <c r="G26" s="78" t="s">
        <v>41</v>
      </c>
    </row>
    <row r="27" spans="1:7" ht="15" thickBot="1" x14ac:dyDescent="0.35">
      <c r="A27" s="78" t="s">
        <v>71</v>
      </c>
      <c r="B27" s="79">
        <v>46327</v>
      </c>
      <c r="C27" s="78" t="s">
        <v>72</v>
      </c>
      <c r="D27" s="78" t="s">
        <v>168</v>
      </c>
      <c r="E27" s="78" t="s">
        <v>41</v>
      </c>
      <c r="F27" s="78" t="s">
        <v>234</v>
      </c>
      <c r="G27" s="78" t="s">
        <v>235</v>
      </c>
    </row>
    <row r="28" spans="1:7" ht="15" thickBot="1" x14ac:dyDescent="0.35">
      <c r="A28" s="78" t="s">
        <v>236</v>
      </c>
      <c r="B28" s="79">
        <v>46327</v>
      </c>
      <c r="C28" s="78" t="s">
        <v>53</v>
      </c>
      <c r="D28" s="78" t="s">
        <v>168</v>
      </c>
      <c r="E28" s="78" t="s">
        <v>172</v>
      </c>
      <c r="F28" s="78" t="s">
        <v>237</v>
      </c>
      <c r="G28" s="78" t="s">
        <v>238</v>
      </c>
    </row>
    <row r="29" spans="1:7" ht="15" thickBot="1" x14ac:dyDescent="0.35">
      <c r="A29" s="78" t="s">
        <v>108</v>
      </c>
      <c r="B29" s="79">
        <v>46327</v>
      </c>
      <c r="C29" s="78" t="s">
        <v>80</v>
      </c>
      <c r="D29" s="78" t="s">
        <v>168</v>
      </c>
      <c r="E29" s="78" t="s">
        <v>41</v>
      </c>
      <c r="F29" s="78" t="s">
        <v>239</v>
      </c>
      <c r="G29" s="78" t="s">
        <v>108</v>
      </c>
    </row>
    <row r="30" spans="1:7" ht="15" thickBot="1" x14ac:dyDescent="0.35">
      <c r="A30" s="78" t="s">
        <v>171</v>
      </c>
      <c r="B30" s="79">
        <v>46328</v>
      </c>
      <c r="C30" s="78" t="s">
        <v>16</v>
      </c>
      <c r="D30" s="78" t="s">
        <v>168</v>
      </c>
      <c r="E30" s="78" t="s">
        <v>41</v>
      </c>
      <c r="F30" s="78" t="s">
        <v>240</v>
      </c>
      <c r="G30" s="78" t="s">
        <v>41</v>
      </c>
    </row>
    <row r="31" spans="1:7" ht="15" hidden="1" thickBot="1" x14ac:dyDescent="0.35">
      <c r="A31" s="78" t="s">
        <v>181</v>
      </c>
      <c r="B31" s="79">
        <v>46328</v>
      </c>
      <c r="C31" s="78" t="s">
        <v>98</v>
      </c>
      <c r="D31" s="78" t="s">
        <v>168</v>
      </c>
      <c r="E31" s="78" t="s">
        <v>169</v>
      </c>
      <c r="F31" s="78" t="s">
        <v>241</v>
      </c>
      <c r="G31" s="78" t="s">
        <v>183</v>
      </c>
    </row>
    <row r="32" spans="1:7" ht="15" thickBot="1" x14ac:dyDescent="0.35">
      <c r="A32" s="78" t="s">
        <v>89</v>
      </c>
      <c r="B32" s="79">
        <v>46328</v>
      </c>
      <c r="C32" s="78" t="s">
        <v>21</v>
      </c>
      <c r="D32" s="78" t="s">
        <v>168</v>
      </c>
      <c r="E32" s="78" t="s">
        <v>172</v>
      </c>
      <c r="F32" s="78" t="s">
        <v>242</v>
      </c>
      <c r="G32" s="78" t="s">
        <v>216</v>
      </c>
    </row>
    <row r="33" spans="1:7" ht="15" thickBot="1" x14ac:dyDescent="0.35">
      <c r="A33" s="78" t="s">
        <v>71</v>
      </c>
      <c r="B33" s="79">
        <v>46328</v>
      </c>
      <c r="C33" s="78" t="s">
        <v>72</v>
      </c>
      <c r="D33" s="78" t="s">
        <v>168</v>
      </c>
      <c r="E33" s="78" t="s">
        <v>41</v>
      </c>
      <c r="F33" s="78" t="s">
        <v>243</v>
      </c>
      <c r="G33" s="78" t="s">
        <v>235</v>
      </c>
    </row>
    <row r="34" spans="1:7" ht="15" thickBot="1" x14ac:dyDescent="0.35">
      <c r="A34" s="78" t="s">
        <v>244</v>
      </c>
      <c r="B34" s="79">
        <v>46328</v>
      </c>
      <c r="C34" s="78" t="s">
        <v>24</v>
      </c>
      <c r="D34" s="78" t="s">
        <v>168</v>
      </c>
      <c r="E34" s="78" t="s">
        <v>33</v>
      </c>
      <c r="F34" s="78" t="s">
        <v>245</v>
      </c>
      <c r="G34" s="78" t="s">
        <v>246</v>
      </c>
    </row>
    <row r="35" spans="1:7" ht="15" thickBot="1" x14ac:dyDescent="0.35">
      <c r="A35" s="78" t="s">
        <v>171</v>
      </c>
      <c r="B35" s="79">
        <v>46329</v>
      </c>
      <c r="C35" s="78" t="s">
        <v>16</v>
      </c>
      <c r="D35" s="78" t="s">
        <v>168</v>
      </c>
      <c r="E35" s="78" t="s">
        <v>41</v>
      </c>
      <c r="F35" s="78" t="s">
        <v>247</v>
      </c>
      <c r="G35" s="78" t="s">
        <v>41</v>
      </c>
    </row>
    <row r="36" spans="1:7" ht="15" thickBot="1" x14ac:dyDescent="0.35">
      <c r="A36" s="78" t="s">
        <v>15</v>
      </c>
      <c r="B36" s="79">
        <v>46329</v>
      </c>
      <c r="C36" s="78" t="s">
        <v>16</v>
      </c>
      <c r="D36" s="78" t="s">
        <v>168</v>
      </c>
      <c r="E36" s="78" t="s">
        <v>19</v>
      </c>
      <c r="F36" s="78" t="s">
        <v>248</v>
      </c>
      <c r="G36" s="78" t="s">
        <v>15</v>
      </c>
    </row>
    <row r="37" spans="1:7" ht="15" thickBot="1" x14ac:dyDescent="0.35">
      <c r="A37" s="78" t="s">
        <v>71</v>
      </c>
      <c r="B37" s="79">
        <v>46329</v>
      </c>
      <c r="C37" s="78" t="s">
        <v>72</v>
      </c>
      <c r="D37" s="78" t="s">
        <v>168</v>
      </c>
      <c r="E37" s="78" t="s">
        <v>41</v>
      </c>
      <c r="F37" s="78" t="s">
        <v>249</v>
      </c>
      <c r="G37" s="78" t="s">
        <v>235</v>
      </c>
    </row>
    <row r="38" spans="1:7" ht="15" thickBot="1" x14ac:dyDescent="0.35">
      <c r="A38" s="80" t="s">
        <v>250</v>
      </c>
      <c r="B38" s="81">
        <v>46329</v>
      </c>
      <c r="C38" s="80" t="s">
        <v>45</v>
      </c>
      <c r="D38" s="80" t="s">
        <v>168</v>
      </c>
      <c r="E38" s="80" t="s">
        <v>41</v>
      </c>
      <c r="F38" s="80" t="s">
        <v>251</v>
      </c>
      <c r="G38" s="80" t="s">
        <v>252</v>
      </c>
    </row>
    <row r="39" spans="1:7" ht="15" thickBot="1" x14ac:dyDescent="0.35">
      <c r="A39" s="78" t="s">
        <v>253</v>
      </c>
      <c r="B39" s="79">
        <v>46330</v>
      </c>
      <c r="C39" s="78" t="s">
        <v>56</v>
      </c>
      <c r="D39" s="78" t="s">
        <v>168</v>
      </c>
      <c r="E39" s="78" t="s">
        <v>178</v>
      </c>
      <c r="F39" s="78" t="s">
        <v>254</v>
      </c>
      <c r="G39" s="78" t="s">
        <v>253</v>
      </c>
    </row>
    <row r="40" spans="1:7" ht="15" thickBot="1" x14ac:dyDescent="0.35">
      <c r="A40" s="78" t="s">
        <v>255</v>
      </c>
      <c r="B40" s="79">
        <v>46330</v>
      </c>
      <c r="C40" s="78" t="s">
        <v>53</v>
      </c>
      <c r="D40" s="78" t="s">
        <v>168</v>
      </c>
      <c r="E40" s="78" t="s">
        <v>33</v>
      </c>
      <c r="F40" s="78" t="s">
        <v>256</v>
      </c>
      <c r="G40" s="78" t="s">
        <v>257</v>
      </c>
    </row>
    <row r="41" spans="1:7" ht="15" hidden="1" thickBot="1" x14ac:dyDescent="0.35">
      <c r="A41" s="78" t="s">
        <v>258</v>
      </c>
      <c r="B41" s="79">
        <v>46330</v>
      </c>
      <c r="C41" s="78" t="s">
        <v>135</v>
      </c>
      <c r="D41" s="78" t="s">
        <v>168</v>
      </c>
      <c r="E41" s="78" t="s">
        <v>169</v>
      </c>
      <c r="F41" s="78" t="s">
        <v>259</v>
      </c>
      <c r="G41" s="78" t="s">
        <v>260</v>
      </c>
    </row>
    <row r="42" spans="1:7" ht="15" thickBot="1" x14ac:dyDescent="0.35">
      <c r="A42" s="78" t="s">
        <v>71</v>
      </c>
      <c r="B42" s="79">
        <v>46330</v>
      </c>
      <c r="C42" s="78" t="s">
        <v>72</v>
      </c>
      <c r="D42" s="78" t="s">
        <v>168</v>
      </c>
      <c r="E42" s="78" t="s">
        <v>41</v>
      </c>
      <c r="F42" s="78" t="s">
        <v>261</v>
      </c>
      <c r="G42" s="78" t="s">
        <v>235</v>
      </c>
    </row>
    <row r="43" spans="1:7" ht="15" thickBot="1" x14ac:dyDescent="0.35">
      <c r="A43" s="78" t="s">
        <v>250</v>
      </c>
      <c r="B43" s="79">
        <v>46330</v>
      </c>
      <c r="C43" s="78" t="s">
        <v>45</v>
      </c>
      <c r="D43" s="78" t="s">
        <v>168</v>
      </c>
      <c r="E43" s="78" t="s">
        <v>41</v>
      </c>
      <c r="F43" s="78" t="s">
        <v>262</v>
      </c>
      <c r="G43" s="78" t="s">
        <v>252</v>
      </c>
    </row>
    <row r="44" spans="1:7" ht="15" hidden="1" thickBot="1" x14ac:dyDescent="0.35">
      <c r="A44" s="78" t="s">
        <v>167</v>
      </c>
      <c r="B44" s="79">
        <v>46332</v>
      </c>
      <c r="C44" s="78" t="s">
        <v>83</v>
      </c>
      <c r="D44" s="78" t="s">
        <v>168</v>
      </c>
      <c r="E44" s="78" t="s">
        <v>169</v>
      </c>
      <c r="F44" s="78" t="s">
        <v>263</v>
      </c>
      <c r="G44" s="78" t="s">
        <v>169</v>
      </c>
    </row>
    <row r="45" spans="1:7" ht="15" thickBot="1" x14ac:dyDescent="0.35">
      <c r="A45" s="80" t="s">
        <v>250</v>
      </c>
      <c r="B45" s="81">
        <v>46332</v>
      </c>
      <c r="C45" s="80" t="s">
        <v>45</v>
      </c>
      <c r="D45" s="80" t="s">
        <v>168</v>
      </c>
      <c r="E45" s="80" t="s">
        <v>41</v>
      </c>
      <c r="F45" s="80" t="s">
        <v>264</v>
      </c>
      <c r="G45" s="80" t="s">
        <v>252</v>
      </c>
    </row>
    <row r="46" spans="1:7" ht="15" thickBot="1" x14ac:dyDescent="0.35">
      <c r="A46" s="78" t="s">
        <v>200</v>
      </c>
      <c r="B46" s="79">
        <v>46331</v>
      </c>
      <c r="C46" s="78" t="s">
        <v>21</v>
      </c>
      <c r="D46" s="78" t="s">
        <v>168</v>
      </c>
      <c r="E46" s="78" t="s">
        <v>19</v>
      </c>
      <c r="F46" s="78" t="s">
        <v>265</v>
      </c>
      <c r="G46" s="78" t="s">
        <v>169</v>
      </c>
    </row>
    <row r="47" spans="1:7" ht="15" thickBot="1" x14ac:dyDescent="0.35">
      <c r="A47" s="78" t="s">
        <v>176</v>
      </c>
      <c r="B47" s="79">
        <v>46331</v>
      </c>
      <c r="C47" s="78" t="s">
        <v>64</v>
      </c>
      <c r="D47" s="78" t="s">
        <v>168</v>
      </c>
      <c r="E47" s="78" t="s">
        <v>178</v>
      </c>
      <c r="F47" s="78" t="s">
        <v>266</v>
      </c>
      <c r="G47" s="78" t="s">
        <v>180</v>
      </c>
    </row>
    <row r="48" spans="1:7" ht="15" thickBot="1" x14ac:dyDescent="0.35">
      <c r="A48" s="78" t="s">
        <v>89</v>
      </c>
      <c r="B48" s="79">
        <v>46331</v>
      </c>
      <c r="C48" s="78" t="s">
        <v>21</v>
      </c>
      <c r="D48" s="78" t="s">
        <v>168</v>
      </c>
      <c r="E48" s="78" t="s">
        <v>172</v>
      </c>
      <c r="F48" s="78" t="s">
        <v>267</v>
      </c>
      <c r="G48" s="78" t="s">
        <v>216</v>
      </c>
    </row>
    <row r="49" spans="1:7" ht="15" thickBot="1" x14ac:dyDescent="0.35">
      <c r="A49" s="80" t="s">
        <v>250</v>
      </c>
      <c r="B49" s="81">
        <v>46331</v>
      </c>
      <c r="C49" s="80" t="s">
        <v>45</v>
      </c>
      <c r="D49" s="80" t="s">
        <v>168</v>
      </c>
      <c r="E49" s="80" t="s">
        <v>41</v>
      </c>
      <c r="F49" s="80" t="s">
        <v>268</v>
      </c>
      <c r="G49" s="80" t="s">
        <v>252</v>
      </c>
    </row>
    <row r="50" spans="1:7" ht="15" thickBot="1" x14ac:dyDescent="0.35">
      <c r="A50" s="78" t="s">
        <v>171</v>
      </c>
      <c r="B50" s="79">
        <v>46333</v>
      </c>
      <c r="C50" s="78" t="s">
        <v>16</v>
      </c>
      <c r="D50" s="78" t="s">
        <v>168</v>
      </c>
      <c r="E50" s="78" t="s">
        <v>41</v>
      </c>
      <c r="F50" s="78" t="s">
        <v>269</v>
      </c>
      <c r="G50" s="78" t="s">
        <v>41</v>
      </c>
    </row>
    <row r="51" spans="1:7" ht="15" hidden="1" thickBot="1" x14ac:dyDescent="0.35">
      <c r="A51" s="80" t="s">
        <v>270</v>
      </c>
      <c r="B51" s="81">
        <v>46333</v>
      </c>
      <c r="C51" s="80" t="s">
        <v>98</v>
      </c>
      <c r="D51" s="80" t="s">
        <v>168</v>
      </c>
      <c r="E51" s="80" t="s">
        <v>169</v>
      </c>
      <c r="F51" s="80" t="s">
        <v>271</v>
      </c>
      <c r="G51" s="80" t="s">
        <v>272</v>
      </c>
    </row>
    <row r="52" spans="1:7" x14ac:dyDescent="0.3">
      <c r="A52" s="78" t="s">
        <v>171</v>
      </c>
      <c r="B52" s="79">
        <v>46334</v>
      </c>
      <c r="C52" s="78" t="s">
        <v>16</v>
      </c>
      <c r="D52" s="78" t="s">
        <v>168</v>
      </c>
      <c r="E52" s="78" t="s">
        <v>41</v>
      </c>
      <c r="F52" s="78" t="s">
        <v>273</v>
      </c>
      <c r="G52" s="78" t="s">
        <v>41</v>
      </c>
    </row>
    <row r="53" spans="1:7" hidden="1" x14ac:dyDescent="0.3">
      <c r="A53" s="78" t="s">
        <v>270</v>
      </c>
      <c r="B53" s="79">
        <v>46334</v>
      </c>
      <c r="C53" s="78" t="s">
        <v>98</v>
      </c>
      <c r="D53" s="78" t="s">
        <v>168</v>
      </c>
      <c r="E53" s="78" t="s">
        <v>169</v>
      </c>
      <c r="F53" s="78" t="s">
        <v>274</v>
      </c>
      <c r="G53" s="78" t="s">
        <v>272</v>
      </c>
    </row>
  </sheetData>
  <autoFilter ref="A1:G53" xr:uid="{54D3072B-F3C7-4A08-AEA7-6139B9459F73}">
    <filterColumn colId="4">
      <filters>
        <filter val="Anne Valencia"/>
        <filter val="Christopher Rodas"/>
        <filter val="Lyn Abellar"/>
        <filter val="Michael Dominguez"/>
        <filter val="Remmo Panaligan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EST</vt:lpstr>
      <vt:lpstr>Sheet1</vt:lpstr>
      <vt:lpstr>PH</vt:lpstr>
      <vt:lpstr>EST_OLD</vt:lpstr>
      <vt:lpstr>PH_OLD</vt:lpstr>
      <vt:lpstr>PTO</vt:lpstr>
      <vt:lpstr>Called OFF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2026-10-26T04:55:01Z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