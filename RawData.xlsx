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75" documentId="11_94451ABCA0A2D337C40D543FD3FF15B293680652" xr6:coauthVersionLast="47" xr6:coauthVersionMax="47" xr10:uidLastSave="{73358019-D55A-4EDD-978B-E9AD5E3F79F0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<sst xmlns="http://schemas.openxmlformats.org/spreadsheetml/2006/main" count="875" uniqueCount="144">
  <si>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</si>
  <si>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</si>
  <si>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</si>
  <si>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</si>
  <si>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</si>
  <si>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</si>
  <si>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</si>
  <si>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</si>
  <si>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</si>
  <si>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</si>
  <si>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</si>
  <si>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</si>
  <si>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</si>
  <si>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</si>
  <si>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</si>
  <si>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</si>
  <si>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</si>
  <si>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</si>
  <si>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</si>
  <si>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</si>
  <si>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</si>
  <si>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</si>
  <si>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</si>
  <si>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</si>
  <si>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</si>
  <si>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</si>
  <si>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</si>
  <si>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</si>
  <si>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</si>
  <si>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</si>
  <si>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</si>
  <si>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</si>
  <si>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</si>
  <si>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</si>
  <si>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</si>
  <si>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</si>
  <si>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</si>
  <si>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</si>
  <si>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</si>
  <si>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</si>
  <si>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</si>
  <si>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</si>
  <si>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</si>
  <si>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</si>
  <si>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</si>
  <si>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</si>
  <si>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</si>
  <si>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</si>
  <si>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</si>
  <si>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</si>
  <si>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</si>
  <si>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</si>
  <si>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</si>
  <si>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</si>
  <si>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</si>
  <si>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</si>
  <si>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</si>
  <si>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</si>
  <si>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</si>
  <si>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</si>
  <si>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</si>
  <si>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</si>
  <si>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</si>
  <si>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</si>
  <si>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</si>
  <si>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</si>
  <si>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</si>
  <si>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</si>
  <si>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</si>
  <si>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</si>
  <si>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</si>
  <si>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</si>
  <si>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</si>
  <si>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</si>
  <si>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</si>
  <si>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</si>
  <si>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</si>
  <si>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</si>
  <si>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</si>
  <si>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</si>
  <si>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</si>
  <si>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</si>
  <si>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</si>
  <si>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</si>
  <si>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</si>
  <si>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</si>
  <si>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</si>
  <si>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</si>
  <si>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</si>
  <si>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</si>
  <si>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</si>
  <si>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</si>
  <si>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</si>
  <si>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</si>
  <si>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</si>
  <si>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</si>
  <si>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</si>
  <si>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</si>
  <si>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</si>
  <si>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</si>
  <si>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</si>
  <si>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</si>
  <si>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</si>
  <si>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</si>
  <si>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</si>
  <si>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</si>
  <si>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</si>
  <si>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</si>
  <si>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</si>
  <si>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</si>
  <si>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</si>
  <si>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</si>
  <si>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</si>
  <si>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</si>
  <si>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</si>
  <si>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</si>
  <si>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</si>
  <si>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</si>
  <si>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</si>
  <si>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</si>
  <si>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</si>
  <si>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</si>
  <si>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</si>
  <si>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</si>
  <si>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</si>
  <si>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</si>
  <si>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</si>
  <si>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</si>
  <si>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</si>
  <si>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</si>
  <si>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</si>
  <si>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</si>
  <si>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</si>
  <si>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</si>
  <si>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</si>
  <si>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</si>
  <si>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</si>
  <si>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</si>
  <si>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</si>
  <si>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</si>
  <si>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MARY ANGELIE FAJARDO</t>
  </si>
  <si>
    <t>Maternity Leave</t>
  </si>
  <si>
    <t>Vacation Leave</t>
  </si>
  <si>
    <t>RAYNIEL INGAL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</si>
</sst>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tabSelected="1" zoomScaleNormal="100" workbookViewId="0">
      <pane ySplit="1" topLeftCell="A42" activePane="bottomLeft" state="frozen"/>
      <selection pane="bottomLeft" activeCell="A65" sqref="A6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136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140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143</v>
      </c>
      <c r="B54" s="9" t="s">
        <v>108</v>
      </c>
      <c r="C54" s="9" t="s">
        <v>108</v>
      </c>
      <c r="D54" s="1" t="s">
        <v>17</v>
      </c>
      <c r="E54" s="1" t="s">
        <v>17</v>
      </c>
      <c r="F54" s="1" t="s">
        <v>17</v>
      </c>
      <c r="G54" s="9" t="s">
        <v>108</v>
      </c>
      <c r="H54" s="9" t="s">
        <v>108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109</v>
      </c>
      <c r="O54" s="9" t="s">
        <v>108</v>
      </c>
      <c r="P54">
        <f t="shared" si="1"/>
        <v>0</v>
      </c>
    </row>
    <row r="55" spans="1:17" x14ac:dyDescent="0.3">
      <c r="A55" s="11" t="s">
        <v>110</v>
      </c>
      <c r="B55" s="5" t="s">
        <v>17</v>
      </c>
      <c r="C55" s="5" t="s">
        <v>17</v>
      </c>
      <c r="D55" s="5" t="s">
        <v>111</v>
      </c>
      <c r="E55" s="5" t="s">
        <v>111</v>
      </c>
      <c r="F55" s="5" t="s">
        <v>17</v>
      </c>
      <c r="G55" s="5" t="s">
        <v>111</v>
      </c>
      <c r="H55" s="5" t="s">
        <v>111</v>
      </c>
      <c r="I55" s="6" t="s">
        <v>112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111</v>
      </c>
      <c r="P55">
        <f t="shared" si="1"/>
        <v>1</v>
      </c>
    </row>
    <row r="56" spans="1:17" x14ac:dyDescent="0.3">
      <c r="A56" s="10" t="s">
        <v>113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114</v>
      </c>
      <c r="B57" s="17" t="s">
        <v>115</v>
      </c>
      <c r="C57" s="17" t="s">
        <v>115</v>
      </c>
      <c r="D57" s="17" t="s">
        <v>17</v>
      </c>
      <c r="E57" s="17" t="s">
        <v>17</v>
      </c>
      <c r="F57" s="17" t="s">
        <v>17</v>
      </c>
      <c r="G57" s="17" t="s">
        <v>115</v>
      </c>
      <c r="H57" s="17" t="s">
        <v>115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115</v>
      </c>
      <c r="P57">
        <f t="shared" si="1"/>
        <v>0</v>
      </c>
    </row>
    <row r="58" spans="1:17" x14ac:dyDescent="0.3">
      <c r="A58" s="11" t="s">
        <v>116</v>
      </c>
      <c r="B58" s="5" t="s">
        <v>117</v>
      </c>
      <c r="C58" s="5" t="s">
        <v>117</v>
      </c>
      <c r="D58" s="5" t="s">
        <v>17</v>
      </c>
      <c r="E58" s="5" t="s">
        <v>17</v>
      </c>
      <c r="F58" s="5" t="s">
        <v>17</v>
      </c>
      <c r="G58" s="5" t="s">
        <v>117</v>
      </c>
      <c r="H58" s="5" t="s">
        <v>117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117</v>
      </c>
      <c r="P58">
        <f t="shared" si="1"/>
        <v>0</v>
      </c>
    </row>
    <row r="59" spans="1:17" x14ac:dyDescent="0.3">
      <c r="A59" s="11" t="s">
        <v>118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119</v>
      </c>
      <c r="B60" s="5" t="s">
        <v>115</v>
      </c>
      <c r="C60" s="5" t="s">
        <v>115</v>
      </c>
      <c r="D60" s="5" t="s">
        <v>115</v>
      </c>
      <c r="E60" s="5" t="s">
        <v>115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115</v>
      </c>
      <c r="P60">
        <f t="shared" si="1"/>
        <v>0</v>
      </c>
    </row>
    <row r="61" spans="1:17" ht="15" customHeight="1" x14ac:dyDescent="0.3">
      <c r="A61" s="11" t="s">
        <v>120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138</v>
      </c>
      <c r="B62" s="41" t="s">
        <v>17</v>
      </c>
      <c r="C62" s="41" t="s">
        <v>17</v>
      </c>
      <c r="D62" s="41" t="s">
        <v>17</v>
      </c>
      <c r="E62" s="42" t="s">
        <v>129</v>
      </c>
      <c r="F62" s="42" t="s">
        <v>129</v>
      </c>
      <c r="G62" s="42" t="s">
        <v>129</v>
      </c>
      <c r="H62" s="42" t="s">
        <v>129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129</v>
      </c>
      <c r="P62">
        <f t="shared" ref="P62:P63" si="2">IF(O62="OFF",0,
IF(VALUE(LEFT(O62,2))&lt;12,0,1))</f>
        <v>1</v>
      </c>
    </row>
    <row r="63" spans="1:17" x14ac:dyDescent="0.3">
      <c r="A63" s="40" t="s">
        <v>139</v>
      </c>
      <c r="B63" s="41" t="s">
        <v>17</v>
      </c>
      <c r="C63" s="41" t="s">
        <v>17</v>
      </c>
      <c r="D63" s="42" t="s">
        <v>127</v>
      </c>
      <c r="E63" s="42" t="s">
        <v>127</v>
      </c>
      <c r="F63" s="42" t="s">
        <v>127</v>
      </c>
      <c r="G63" s="42" t="s">
        <v>127</v>
      </c>
      <c r="H63" s="41" t="s">
        <v>17</v>
      </c>
      <c r="I63" s="42" t="s">
        <v>137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127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121</v>
      </c>
      <c r="P1" s="39" t="s">
        <v>122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124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125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111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111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126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127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117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128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129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129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115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workbookViewId="0">
      <selection activeCell="C13" sqref="C13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130</v>
      </c>
      <c r="C1" s="24" t="s">
        <v>131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142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142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142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142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142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142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142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142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142</v>
      </c>
      <c r="D10" t="str">
        <f>_xlfn.IFNA(VLOOKUP(A10,EST!A:N,14,FALSE),"")</f>
        <v>Michael Dominguez</v>
      </c>
    </row>
    <row r="11" spans="1:4" x14ac:dyDescent="0.3">
      <c r="A11" t="s">
        <v>110</v>
      </c>
      <c r="B11" s="29">
        <v>46318</v>
      </c>
      <c r="C11" t="s">
        <v>142</v>
      </c>
      <c r="D11" t="str">
        <f>_xlfn.IFNA(VLOOKUP(A11,EST!A:N,14,FALSE),"")</f>
        <v>Anmecha Valencia</v>
      </c>
    </row>
    <row r="12" spans="1:4" x14ac:dyDescent="0.3">
      <c r="A12" t="s">
        <v>138</v>
      </c>
      <c r="B12" s="29">
        <v>46319</v>
      </c>
      <c r="C12" t="s">
        <v>141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142</v>
      </c>
      <c r="D13" t="str">
        <f>_xlfn.IFNA(VLOOKUP(A13,EST!A:N,14,FALSE),"")</f>
        <v>Remmo Panaligan</v>
      </c>
    </row>
    <row r="14" spans="1:4" x14ac:dyDescent="0.3">
      <c r="A14" t="s">
        <v>138</v>
      </c>
      <c r="B14" s="29">
        <v>46320</v>
      </c>
      <c r="C14" t="s">
        <v>141</v>
      </c>
      <c r="D14" t="str">
        <f>_xlfn.IFNA(VLOOKUP(A14,EST!A:N,14,FALSE),"")</f>
        <v>Manilyn Abellar</v>
      </c>
    </row>
    <row r="15" spans="1:4" x14ac:dyDescent="0.3">
      <c r="A15" t="s">
        <v>114</v>
      </c>
      <c r="B15" s="29">
        <v>46321</v>
      </c>
      <c r="C15" t="s">
        <v>142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142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142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142</v>
      </c>
      <c r="D18" t="str">
        <f>_xlfn.IFNA(VLOOKUP(A18,EST!A:N,14,FALSE),"")</f>
        <v>Anmecha Valencia</v>
      </c>
    </row>
    <row r="19" spans="1:4" x14ac:dyDescent="0.3">
      <c r="A19" t="s">
        <v>114</v>
      </c>
      <c r="B19" s="29">
        <v>46322</v>
      </c>
      <c r="C19" t="s">
        <v>142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142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142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142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142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142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142</v>
      </c>
      <c r="D25" t="str">
        <f>_xlfn.IFNA(VLOOKUP(A25,EST!A:N,14,FALSE),"")</f>
        <v>Manilyn Abellar</v>
      </c>
    </row>
    <row r="26" spans="1:4" x14ac:dyDescent="0.3">
      <c r="A26" s="46" t="s">
        <v>139</v>
      </c>
      <c r="B26" s="29">
        <v>46323</v>
      </c>
      <c r="C26" t="s">
        <v>141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142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142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142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142</v>
      </c>
      <c r="D30" t="str">
        <f>_xlfn.IFNA(VLOOKUP(A30,EST!A:N,14,FALSE),"")</f>
        <v>Manilyn Abellar</v>
      </c>
    </row>
    <row r="31" spans="1:4" x14ac:dyDescent="0.3">
      <c r="A31" s="40" t="s">
        <v>139</v>
      </c>
      <c r="B31" s="29">
        <v>46324</v>
      </c>
      <c r="C31" t="s">
        <v>141</v>
      </c>
      <c r="D31" t="str">
        <f>_xlfn.IFNA(VLOOKUP(A31,EST!A:N,14,FALSE),"")</f>
        <v>Manilyn Abellar</v>
      </c>
    </row>
    <row r="32" spans="1:4" x14ac:dyDescent="0.3">
      <c r="A32" s="47" t="s">
        <v>138</v>
      </c>
      <c r="B32" s="29">
        <v>46324</v>
      </c>
      <c r="C32" t="s">
        <v>141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142</v>
      </c>
      <c r="D33" t="str">
        <f>_xlfn.IFNA(VLOOKUP(A33,EST!A:N,14,FALSE),"")</f>
        <v>Manilyn Abellar</v>
      </c>
    </row>
    <row r="34" spans="1:4" x14ac:dyDescent="0.3">
      <c r="A34" s="40" t="s">
        <v>139</v>
      </c>
      <c r="B34" s="29">
        <v>46325</v>
      </c>
      <c r="C34" t="s">
        <v>141</v>
      </c>
      <c r="D34" t="str">
        <f>_xlfn.IFNA(VLOOKUP(A34,EST!A:N,14,FALSE),"")</f>
        <v>Manilyn Abellar</v>
      </c>
    </row>
    <row r="35" spans="1:4" x14ac:dyDescent="0.3">
      <c r="A35" s="47" t="s">
        <v>138</v>
      </c>
      <c r="B35" s="29">
        <v>46325</v>
      </c>
      <c r="C35" t="s">
        <v>141</v>
      </c>
      <c r="D35" t="str">
        <f>_xlfn.IFNA(VLOOKUP(A35,EST!A:N,14,FALSE),"")</f>
        <v>Manilyn Abellar</v>
      </c>
    </row>
    <row r="36" spans="1:4" x14ac:dyDescent="0.3">
      <c r="A36" t="s">
        <v>136</v>
      </c>
      <c r="B36" s="29">
        <v>46326</v>
      </c>
      <c r="C36" t="s">
        <v>142</v>
      </c>
      <c r="D36" t="str">
        <f>_xlfn.IFNA(VLOOKUP(A36,EST!A:N,14,FALSE),"")</f>
        <v>Christopher Rodas</v>
      </c>
    </row>
    <row r="37" spans="1:4" x14ac:dyDescent="0.3">
      <c r="A37" s="40" t="s">
        <v>139</v>
      </c>
      <c r="B37" s="29">
        <v>46326</v>
      </c>
      <c r="C37" t="s">
        <v>141</v>
      </c>
      <c r="D37" t="str">
        <f>_xlfn.IFNA(VLOOKUP(A37,EST!A:N,14,FALSE),"")</f>
        <v>Manilyn Abellar</v>
      </c>
    </row>
    <row r="38" spans="1:4" x14ac:dyDescent="0.3">
      <c r="A38" t="s">
        <v>138</v>
      </c>
      <c r="B38" s="29">
        <v>46326</v>
      </c>
      <c r="C38" t="s">
        <v>141</v>
      </c>
      <c r="D38" t="str">
        <f>_xlfn.IFNA(VLOOKUP(A38,EST!A:N,14,FALSE),"")</f>
        <v>Manilyn Abellar</v>
      </c>
    </row>
    <row r="39" spans="1:4" x14ac:dyDescent="0.3">
      <c r="A39" t="s">
        <v>138</v>
      </c>
      <c r="B39" s="29">
        <v>46327</v>
      </c>
      <c r="C39" t="s">
        <v>141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C9" sqref="C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130</v>
      </c>
      <c r="C1" s="25" t="s">
        <v>131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132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133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134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135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132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132</v>
      </c>
      <c r="D8" t="str">
        <f>_xlfn.IFNA(VLOOKUP(A8,EST!A:N,14,FALSE),"")</f>
        <v>Christopher Rodas</v>
      </c>
    </row>
    <row r="9" spans="1:4" x14ac:dyDescent="0.3">
      <c r="A9" s="27" t="s">
        <v>110</v>
      </c>
      <c r="B9" s="29">
        <v>46319</v>
      </c>
      <c r="C9" s="27" t="s">
        <v>132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2026-10-25T04:17:15Z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