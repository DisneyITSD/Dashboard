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369" documentId="11_94451ABCA0A2D337C40D543FD3FF15B293680652" xr6:coauthVersionLast="47" xr6:coauthVersionMax="47" xr10:uidLastSave="{05BD66A6-0267-432C-88A0-6C4F4D75A270}"/>
  <bookViews>
    <workbookView xWindow="-108" yWindow="-108" windowWidth="23256" windowHeight="13896" activeTab="6" xr2:uid="{75395B83-6453-4C33-8933-D8D7F8DF6F8F}"/>
  </bookViews>
  <sheets>
    <sheet name="EST" sheetId="1" r:id="rId1"/>
    <sheet name="Sheet1" sheetId="8" r:id="rId2"/>
    <sheet name="PH" sheetId="4" r:id="rId3"/>
    <sheet name="EST_OLD" sheetId="6" r:id="rId4"/>
    <sheet name="PH_OLD" sheetId="7" r:id="rId5"/>
    <sheet name="PTO" sheetId="2" r:id="rId6"/>
    <sheet name="Called OFF" sheetId="3" r:id="rId7"/>
  </sheets>
  <externalReferences>
    <externalReference r:id="rId8"/>
  </externalReferences>
  <definedNames>
    <definedName name="_xlnm._FilterDatabase" localSheetId="0" hidden="1">EST!$A$1:$O$66</definedName>
    <definedName name="_xlnm._FilterDatabase" localSheetId="2" hidden="1">PH!$A$1:$O$61</definedName>
    <definedName name="_xlnm._FilterDatabase" localSheetId="4" hidden="1">PH_OLD!$A$1:$P$68</definedName>
    <definedName name="_xlnm._FilterDatabase" localSheetId="5" hidden="1">PTO!$A$1:$D$1</definedName>
    <definedName name="_xlnm._FilterDatabase" localSheetId="1" hidden="1">Sheet1!$A$1:$G$20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E4" i="7"/>
  <c r="F4" i="7"/>
  <c r="G4" i="7"/>
  <c r="H4" i="7"/>
  <c r="D5" i="7"/>
  <c r="E5" i="7"/>
  <c r="F5" i="7"/>
  <c r="G5" i="7"/>
  <c r="F6" i="7"/>
  <c r="G6" i="7"/>
  <c r="H6" i="7"/>
  <c r="E8" i="7"/>
  <c r="D9" i="7"/>
  <c r="G12" i="7"/>
  <c r="H12" i="7"/>
  <c r="D13" i="7"/>
  <c r="D15" i="7"/>
  <c r="E15" i="7"/>
  <c r="F15" i="7"/>
  <c r="G15" i="7"/>
  <c r="H15" i="7"/>
  <c r="F16" i="7"/>
  <c r="G16" i="7"/>
  <c r="H16" i="7"/>
  <c r="D17" i="7"/>
  <c r="E17" i="7"/>
  <c r="F17" i="7"/>
  <c r="G17" i="7"/>
  <c r="H17" i="7"/>
  <c r="D18" i="7"/>
  <c r="E18" i="7"/>
  <c r="F18" i="7"/>
  <c r="E19" i="7"/>
  <c r="F19" i="7"/>
  <c r="G19" i="7"/>
  <c r="H20" i="7"/>
  <c r="D21" i="7"/>
  <c r="H21" i="7"/>
  <c r="D22" i="7"/>
  <c r="E22" i="7"/>
  <c r="F22" i="7"/>
  <c r="G22" i="7"/>
  <c r="H22" i="7"/>
  <c r="D25" i="7"/>
  <c r="E25" i="7"/>
  <c r="F25" i="7"/>
  <c r="E29" i="7"/>
  <c r="F29" i="7"/>
  <c r="G29" i="7"/>
  <c r="H29" i="7"/>
  <c r="D30" i="7"/>
  <c r="E30" i="7"/>
  <c r="F30" i="7"/>
  <c r="G30" i="7"/>
  <c r="H30" i="7"/>
  <c r="D31" i="7"/>
  <c r="E31" i="7"/>
  <c r="F31" i="7"/>
  <c r="D32" i="7"/>
  <c r="E32" i="7"/>
  <c r="E33" i="7"/>
  <c r="F33" i="7"/>
  <c r="G33" i="7"/>
  <c r="H33" i="7"/>
  <c r="D34" i="7"/>
  <c r="H34" i="7"/>
  <c r="D35" i="7"/>
  <c r="E35" i="7"/>
  <c r="F35" i="7"/>
  <c r="H37" i="7"/>
  <c r="D38" i="7"/>
  <c r="E38" i="7"/>
  <c r="F38" i="7"/>
  <c r="G38" i="7"/>
  <c r="H40" i="7"/>
  <c r="D41" i="7"/>
  <c r="E41" i="7"/>
  <c r="F41" i="7"/>
  <c r="G41" i="7"/>
  <c r="D43" i="7"/>
  <c r="E43" i="7"/>
  <c r="F43" i="7"/>
  <c r="G43" i="7"/>
  <c r="H43" i="7"/>
  <c r="I43" i="7"/>
  <c r="D44" i="7"/>
  <c r="E44" i="7"/>
  <c r="H44" i="7"/>
  <c r="D45" i="7"/>
  <c r="E45" i="7"/>
  <c r="H45" i="7"/>
  <c r="D46" i="7"/>
  <c r="E46" i="7"/>
  <c r="F46" i="7"/>
  <c r="G46" i="7"/>
  <c r="H46" i="7"/>
  <c r="G47" i="7"/>
  <c r="H47" i="7"/>
  <c r="D48" i="7"/>
  <c r="E48" i="7"/>
  <c r="F48" i="7"/>
  <c r="E50" i="7"/>
  <c r="F50" i="7"/>
  <c r="G50" i="7"/>
  <c r="H50" i="7"/>
  <c r="I50" i="7"/>
  <c r="E54" i="7"/>
  <c r="F56" i="7"/>
  <c r="G56" i="7"/>
  <c r="H56" i="7"/>
  <c r="D57" i="7"/>
  <c r="E57" i="7"/>
  <c r="G57" i="7"/>
  <c r="H57" i="7"/>
  <c r="D58" i="7"/>
  <c r="E58" i="7"/>
  <c r="F58" i="7"/>
  <c r="G58" i="7"/>
  <c r="H58" i="7"/>
  <c r="D59" i="7"/>
  <c r="E59" i="7"/>
  <c r="F59" i="7"/>
  <c r="G59" i="7"/>
  <c r="H59" i="7"/>
  <c r="E60" i="7"/>
  <c r="E61" i="7"/>
  <c r="F61" i="7"/>
  <c r="G61" i="7"/>
  <c r="H61" i="7"/>
  <c r="D62" i="7"/>
  <c r="E62" i="7"/>
  <c r="F62" i="7"/>
  <c r="D63" i="7"/>
  <c r="E63" i="7"/>
  <c r="H64" i="7"/>
  <c r="F65" i="7"/>
  <c r="G65" i="7"/>
  <c r="H65" i="7"/>
  <c r="C3" i="7"/>
  <c r="C4" i="7"/>
  <c r="C14" i="7"/>
  <c r="C15" i="7"/>
  <c r="C16" i="7"/>
  <c r="C17" i="7"/>
  <c r="C18" i="7"/>
  <c r="C19" i="7"/>
  <c r="C20" i="7"/>
  <c r="C29" i="7"/>
  <c r="C30" i="7"/>
  <c r="C31" i="7"/>
  <c r="C32" i="7"/>
  <c r="C33" i="7"/>
  <c r="C34" i="7"/>
  <c r="C35" i="7"/>
  <c r="C36" i="7"/>
  <c r="C43" i="7"/>
  <c r="C44" i="7"/>
  <c r="C45" i="7"/>
  <c r="C46" i="7"/>
  <c r="C47" i="7"/>
  <c r="C48" i="7"/>
  <c r="C49" i="7"/>
  <c r="C50" i="7"/>
  <c r="C51" i="7"/>
  <c r="C57" i="7"/>
  <c r="C58" i="7"/>
  <c r="C59" i="7"/>
  <c r="C60" i="7"/>
  <c r="C61" i="7"/>
  <c r="C62" i="7"/>
  <c r="C63" i="7"/>
  <c r="C64" i="7"/>
  <c r="H2" i="7"/>
  <c r="G2" i="7"/>
  <c r="F2" i="7"/>
  <c r="E2" i="7"/>
  <c r="D2" i="7"/>
  <c r="C2" i="7"/>
  <c r="B11" i="7"/>
  <c r="B12" i="7"/>
  <c r="B15" i="7"/>
  <c r="I15" i="7" s="1"/>
  <c r="B16" i="7"/>
  <c r="B17" i="7"/>
  <c r="I17" i="7" s="1"/>
  <c r="B18" i="7"/>
  <c r="B19" i="7"/>
  <c r="B29" i="7"/>
  <c r="B30" i="7"/>
  <c r="B31" i="7"/>
  <c r="B32" i="7"/>
  <c r="B33" i="7"/>
  <c r="B34" i="7"/>
  <c r="B35" i="7"/>
  <c r="B43" i="7"/>
  <c r="B44" i="7"/>
  <c r="B45" i="7"/>
  <c r="B46" i="7"/>
  <c r="B47" i="7"/>
  <c r="B48" i="7"/>
  <c r="B49" i="7"/>
  <c r="B50" i="7"/>
  <c r="B57" i="7"/>
  <c r="B58" i="7"/>
  <c r="B59" i="7"/>
  <c r="B60" i="7"/>
  <c r="B61" i="7"/>
  <c r="B62" i="7"/>
  <c r="B63" i="7"/>
  <c r="B64" i="7"/>
  <c r="B65" i="7"/>
  <c r="B66" i="7"/>
  <c r="B67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P4" i="6"/>
  <c r="B4" i="7" s="1"/>
  <c r="P5" i="6"/>
  <c r="H5" i="7" s="1"/>
  <c r="P6" i="6"/>
  <c r="P7" i="6"/>
  <c r="D7" i="7" s="1"/>
  <c r="P8" i="6"/>
  <c r="P9" i="6"/>
  <c r="P10" i="6"/>
  <c r="P11" i="6"/>
  <c r="P12" i="6"/>
  <c r="C12" i="7" s="1"/>
  <c r="P13" i="6"/>
  <c r="P14" i="6"/>
  <c r="P15" i="6"/>
  <c r="P16" i="6"/>
  <c r="D16" i="7" s="1"/>
  <c r="P17" i="6"/>
  <c r="P18" i="6"/>
  <c r="P19" i="6"/>
  <c r="D19" i="7" s="1"/>
  <c r="P20" i="6"/>
  <c r="B20" i="7" s="1"/>
  <c r="P21" i="6"/>
  <c r="P22" i="6"/>
  <c r="C22" i="7" s="1"/>
  <c r="P23" i="6"/>
  <c r="P24" i="6"/>
  <c r="P25" i="6"/>
  <c r="P26" i="6"/>
  <c r="P27" i="6"/>
  <c r="P28" i="6"/>
  <c r="P29" i="6"/>
  <c r="D29" i="7" s="1"/>
  <c r="P30" i="6"/>
  <c r="P31" i="6"/>
  <c r="P32" i="6"/>
  <c r="F32" i="7" s="1"/>
  <c r="P33" i="6"/>
  <c r="D33" i="7" s="1"/>
  <c r="I33" i="7" s="1"/>
  <c r="P34" i="6"/>
  <c r="P35" i="6"/>
  <c r="G35" i="7" s="1"/>
  <c r="P36" i="6"/>
  <c r="H36" i="7" s="1"/>
  <c r="P37" i="6"/>
  <c r="P38" i="6"/>
  <c r="P39" i="6"/>
  <c r="P40" i="6"/>
  <c r="P41" i="6"/>
  <c r="P42" i="6"/>
  <c r="P43" i="6"/>
  <c r="P44" i="6"/>
  <c r="F44" i="7" s="1"/>
  <c r="P45" i="6"/>
  <c r="F45" i="7" s="1"/>
  <c r="P46" i="6"/>
  <c r="P47" i="6"/>
  <c r="P48" i="6"/>
  <c r="G48" i="7" s="1"/>
  <c r="P49" i="6"/>
  <c r="P50" i="6"/>
  <c r="D50" i="7" s="1"/>
  <c r="P51" i="6"/>
  <c r="P52" i="6"/>
  <c r="P53" i="6"/>
  <c r="P54" i="6"/>
  <c r="P55" i="6"/>
  <c r="P56" i="6"/>
  <c r="P57" i="6"/>
  <c r="F57" i="7" s="1"/>
  <c r="P58" i="6"/>
  <c r="P59" i="6"/>
  <c r="P60" i="6"/>
  <c r="D60" i="7" s="1"/>
  <c r="P61" i="6"/>
  <c r="D61" i="7" s="1"/>
  <c r="I61" i="7" s="1"/>
  <c r="P62" i="6"/>
  <c r="P63" i="6"/>
  <c r="F63" i="7" s="1"/>
  <c r="P64" i="6"/>
  <c r="D64" i="7" s="1"/>
  <c r="P65" i="6"/>
  <c r="P66" i="6"/>
  <c r="P67" i="6"/>
  <c r="P68" i="6"/>
  <c r="B68" i="7" s="1"/>
  <c r="P2" i="1"/>
  <c r="B2" i="4" s="1"/>
  <c r="B56" i="7" l="1"/>
  <c r="C56" i="7"/>
  <c r="D56" i="7"/>
  <c r="D42" i="7"/>
  <c r="B42" i="7"/>
  <c r="E42" i="7"/>
  <c r="F42" i="7"/>
  <c r="G42" i="7"/>
  <c r="H42" i="7"/>
  <c r="C42" i="7"/>
  <c r="B28" i="7"/>
  <c r="C28" i="7"/>
  <c r="B14" i="7"/>
  <c r="D14" i="7"/>
  <c r="E14" i="7"/>
  <c r="F14" i="7"/>
  <c r="G14" i="7"/>
  <c r="H14" i="7"/>
  <c r="E56" i="7"/>
  <c r="I56" i="7" s="1"/>
  <c r="B55" i="7"/>
  <c r="D55" i="7"/>
  <c r="C55" i="7"/>
  <c r="E55" i="7"/>
  <c r="F55" i="7"/>
  <c r="G55" i="7"/>
  <c r="H55" i="7"/>
  <c r="B41" i="7"/>
  <c r="C41" i="7"/>
  <c r="B27" i="7"/>
  <c r="D27" i="7"/>
  <c r="E27" i="7"/>
  <c r="F27" i="7"/>
  <c r="C27" i="7"/>
  <c r="G27" i="7"/>
  <c r="H27" i="7"/>
  <c r="G13" i="7"/>
  <c r="B13" i="7"/>
  <c r="I13" i="7" s="1"/>
  <c r="H13" i="7"/>
  <c r="E13" i="7"/>
  <c r="F13" i="7"/>
  <c r="C13" i="7"/>
  <c r="I63" i="7"/>
  <c r="I44" i="7"/>
  <c r="H54" i="7"/>
  <c r="F54" i="7"/>
  <c r="G54" i="7"/>
  <c r="B54" i="7"/>
  <c r="C40" i="7"/>
  <c r="D40" i="7"/>
  <c r="B40" i="7"/>
  <c r="E40" i="7"/>
  <c r="F40" i="7"/>
  <c r="G40" i="7"/>
  <c r="F26" i="7"/>
  <c r="G26" i="7"/>
  <c r="H26" i="7"/>
  <c r="D26" i="7"/>
  <c r="E26" i="7"/>
  <c r="C26" i="7"/>
  <c r="B26" i="7"/>
  <c r="H68" i="7"/>
  <c r="D54" i="7"/>
  <c r="I54" i="7" s="1"/>
  <c r="H28" i="7"/>
  <c r="F12" i="7"/>
  <c r="G67" i="7"/>
  <c r="H67" i="7"/>
  <c r="C67" i="7"/>
  <c r="D67" i="7"/>
  <c r="E67" i="7"/>
  <c r="F67" i="7"/>
  <c r="C53" i="7"/>
  <c r="B53" i="7"/>
  <c r="D53" i="7"/>
  <c r="E39" i="7"/>
  <c r="F39" i="7"/>
  <c r="C39" i="7"/>
  <c r="G39" i="7"/>
  <c r="D39" i="7"/>
  <c r="H39" i="7"/>
  <c r="B39" i="7"/>
  <c r="C25" i="7"/>
  <c r="B25" i="7"/>
  <c r="I25" i="7" s="1"/>
  <c r="D11" i="7"/>
  <c r="C11" i="7"/>
  <c r="E11" i="7"/>
  <c r="F11" i="7"/>
  <c r="G11" i="7"/>
  <c r="H11" i="7"/>
  <c r="C54" i="7"/>
  <c r="G68" i="7"/>
  <c r="H53" i="7"/>
  <c r="I32" i="7"/>
  <c r="G28" i="7"/>
  <c r="E12" i="7"/>
  <c r="C66" i="7"/>
  <c r="F66" i="7"/>
  <c r="G66" i="7"/>
  <c r="H66" i="7"/>
  <c r="E52" i="7"/>
  <c r="C52" i="7"/>
  <c r="F52" i="7"/>
  <c r="B52" i="7"/>
  <c r="D52" i="7"/>
  <c r="G52" i="7"/>
  <c r="H52" i="7"/>
  <c r="C38" i="7"/>
  <c r="H38" i="7"/>
  <c r="B38" i="7"/>
  <c r="C24" i="7"/>
  <c r="D24" i="7"/>
  <c r="E24" i="7"/>
  <c r="B24" i="7"/>
  <c r="F24" i="7"/>
  <c r="G24" i="7"/>
  <c r="H24" i="7"/>
  <c r="C10" i="7"/>
  <c r="D10" i="7"/>
  <c r="E10" i="7"/>
  <c r="F10" i="7"/>
  <c r="G10" i="7"/>
  <c r="H10" i="7"/>
  <c r="B10" i="7"/>
  <c r="F68" i="7"/>
  <c r="G53" i="7"/>
  <c r="F28" i="7"/>
  <c r="D12" i="7"/>
  <c r="D65" i="7"/>
  <c r="E65" i="7"/>
  <c r="F51" i="7"/>
  <c r="G51" i="7"/>
  <c r="H51" i="7"/>
  <c r="D37" i="7"/>
  <c r="C37" i="7"/>
  <c r="B37" i="7"/>
  <c r="E37" i="7"/>
  <c r="F37" i="7"/>
  <c r="H23" i="7"/>
  <c r="D23" i="7"/>
  <c r="E23" i="7"/>
  <c r="C23" i="7"/>
  <c r="F23" i="7"/>
  <c r="B23" i="7"/>
  <c r="G23" i="7"/>
  <c r="C9" i="7"/>
  <c r="B9" i="7"/>
  <c r="I9" i="7" s="1"/>
  <c r="I57" i="7"/>
  <c r="I31" i="7"/>
  <c r="E68" i="7"/>
  <c r="F53" i="7"/>
  <c r="G37" i="7"/>
  <c r="E28" i="7"/>
  <c r="H9" i="7"/>
  <c r="B51" i="7"/>
  <c r="D68" i="7"/>
  <c r="E53" i="7"/>
  <c r="D28" i="7"/>
  <c r="G9" i="7"/>
  <c r="I29" i="7"/>
  <c r="C68" i="7"/>
  <c r="E66" i="7"/>
  <c r="I66" i="7" s="1"/>
  <c r="E51" i="7"/>
  <c r="H25" i="7"/>
  <c r="F9" i="7"/>
  <c r="C65" i="7"/>
  <c r="D66" i="7"/>
  <c r="D51" i="7"/>
  <c r="H41" i="7"/>
  <c r="G25" i="7"/>
  <c r="E9" i="7"/>
  <c r="F8" i="7"/>
  <c r="G8" i="7"/>
  <c r="H8" i="7"/>
  <c r="G64" i="7"/>
  <c r="I64" i="7" s="1"/>
  <c r="D8" i="7"/>
  <c r="G49" i="7"/>
  <c r="H49" i="7"/>
  <c r="E21" i="7"/>
  <c r="F21" i="7"/>
  <c r="G21" i="7"/>
  <c r="I59" i="7"/>
  <c r="F64" i="7"/>
  <c r="F49" i="7"/>
  <c r="G36" i="7"/>
  <c r="H7" i="7"/>
  <c r="G62" i="7"/>
  <c r="H62" i="7"/>
  <c r="I62" i="7" s="1"/>
  <c r="E34" i="7"/>
  <c r="I34" i="7" s="1"/>
  <c r="F34" i="7"/>
  <c r="G34" i="7"/>
  <c r="D6" i="7"/>
  <c r="E6" i="7"/>
  <c r="B8" i="7"/>
  <c r="E64" i="7"/>
  <c r="E49" i="7"/>
  <c r="I46" i="7"/>
  <c r="F36" i="7"/>
  <c r="I30" i="7"/>
  <c r="G20" i="7"/>
  <c r="G7" i="7"/>
  <c r="D47" i="7"/>
  <c r="E47" i="7"/>
  <c r="F47" i="7"/>
  <c r="B7" i="7"/>
  <c r="C8" i="7"/>
  <c r="I58" i="7"/>
  <c r="D49" i="7"/>
  <c r="E36" i="7"/>
  <c r="F20" i="7"/>
  <c r="F7" i="7"/>
  <c r="I60" i="7"/>
  <c r="G18" i="7"/>
  <c r="I18" i="7" s="1"/>
  <c r="H18" i="7"/>
  <c r="B6" i="7"/>
  <c r="I6" i="7" s="1"/>
  <c r="B22" i="7"/>
  <c r="I22" i="7" s="1"/>
  <c r="C7" i="7"/>
  <c r="H63" i="7"/>
  <c r="H60" i="7"/>
  <c r="D36" i="7"/>
  <c r="H32" i="7"/>
  <c r="E20" i="7"/>
  <c r="E7" i="7"/>
  <c r="D4" i="7"/>
  <c r="I4" i="7" s="1"/>
  <c r="G31" i="7"/>
  <c r="H31" i="7"/>
  <c r="E3" i="7"/>
  <c r="B3" i="7"/>
  <c r="F3" i="7"/>
  <c r="G3" i="7"/>
  <c r="B5" i="7"/>
  <c r="B21" i="7"/>
  <c r="C6" i="7"/>
  <c r="G63" i="7"/>
  <c r="G60" i="7"/>
  <c r="H48" i="7"/>
  <c r="I48" i="7" s="1"/>
  <c r="G45" i="7"/>
  <c r="I45" i="7" s="1"/>
  <c r="H35" i="7"/>
  <c r="I35" i="7" s="1"/>
  <c r="G32" i="7"/>
  <c r="D20" i="7"/>
  <c r="I20" i="7" s="1"/>
  <c r="I16" i="7"/>
  <c r="B36" i="7"/>
  <c r="C21" i="7"/>
  <c r="I21" i="7" s="1"/>
  <c r="C5" i="7"/>
  <c r="I5" i="7" s="1"/>
  <c r="F60" i="7"/>
  <c r="H19" i="7"/>
  <c r="I19" i="7" s="1"/>
  <c r="H3" i="7"/>
  <c r="G44" i="7"/>
  <c r="E16" i="7"/>
  <c r="I2" i="7"/>
  <c r="I47" i="7" l="1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 s="1"/>
  <c r="D14" i="2"/>
  <c r="D26" i="2"/>
  <c r="D31" i="2"/>
  <c r="D34" i="2"/>
  <c r="D37" i="2"/>
  <c r="D32" i="2"/>
  <c r="D35" i="2"/>
  <c r="D38" i="2"/>
  <c r="D39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/>
  <c r="C3" i="4" s="1"/>
  <c r="P4" i="1"/>
  <c r="D4" i="4" s="1"/>
  <c r="P5" i="1"/>
  <c r="D5" i="4" s="1"/>
  <c r="P6" i="1"/>
  <c r="F6" i="4" s="1"/>
  <c r="P7" i="1"/>
  <c r="G7" i="4" s="1"/>
  <c r="P8" i="1"/>
  <c r="H8" i="4" s="1"/>
  <c r="P9" i="1"/>
  <c r="B9" i="4" s="1"/>
  <c r="P10" i="1"/>
  <c r="B10" i="4" s="1"/>
  <c r="P11" i="1"/>
  <c r="B11" i="4" s="1"/>
  <c r="P12" i="1"/>
  <c r="C12" i="4" s="1"/>
  <c r="P13" i="1"/>
  <c r="C13" i="4" s="1"/>
  <c r="P14" i="1"/>
  <c r="C14" i="4" s="1"/>
  <c r="P16" i="1"/>
  <c r="C16" i="4" s="1"/>
  <c r="P17" i="1"/>
  <c r="C17" i="4" s="1"/>
  <c r="P18" i="1"/>
  <c r="D18" i="4" s="1"/>
  <c r="P19" i="1"/>
  <c r="D19" i="4" s="1"/>
  <c r="P20" i="1"/>
  <c r="E20" i="4" s="1"/>
  <c r="P21" i="1"/>
  <c r="G21" i="4" s="1"/>
  <c r="P22" i="1"/>
  <c r="H22" i="4" s="1"/>
  <c r="P23" i="1"/>
  <c r="B23" i="4" s="1"/>
  <c r="P24" i="1"/>
  <c r="B24" i="4" s="1"/>
  <c r="P25" i="1"/>
  <c r="B25" i="4" s="1"/>
  <c r="P26" i="1"/>
  <c r="C26" i="4" s="1"/>
  <c r="P27" i="1"/>
  <c r="C27" i="4" s="1"/>
  <c r="P28" i="1"/>
  <c r="C28" i="4" s="1"/>
  <c r="P29" i="1"/>
  <c r="C29" i="4" s="1"/>
  <c r="P30" i="1"/>
  <c r="C30" i="4" s="1"/>
  <c r="P31" i="1"/>
  <c r="C31" i="4" s="1"/>
  <c r="P32" i="1"/>
  <c r="D32" i="4" s="1"/>
  <c r="P33" i="1"/>
  <c r="D33" i="4" s="1"/>
  <c r="P34" i="1"/>
  <c r="E34" i="4" s="1"/>
  <c r="P35" i="1"/>
  <c r="G35" i="4" s="1"/>
  <c r="P36" i="1"/>
  <c r="H36" i="4" s="1"/>
  <c r="P37" i="1"/>
  <c r="B37" i="4" s="1"/>
  <c r="P38" i="1"/>
  <c r="B38" i="4" s="1"/>
  <c r="P39" i="1"/>
  <c r="B39" i="4" s="1"/>
  <c r="P40" i="1"/>
  <c r="C40" i="4" s="1"/>
  <c r="P41" i="1"/>
  <c r="C41" i="4" s="1"/>
  <c r="P42" i="1"/>
  <c r="C42" i="4" s="1"/>
  <c r="P43" i="1"/>
  <c r="C43" i="4" s="1"/>
  <c r="P44" i="1"/>
  <c r="C44" i="4" s="1"/>
  <c r="P45" i="1"/>
  <c r="C45" i="4" s="1"/>
  <c r="P46" i="1"/>
  <c r="D46" i="4" s="1"/>
  <c r="P47" i="1"/>
  <c r="D47" i="4" s="1"/>
  <c r="P48" i="1"/>
  <c r="E48" i="4" s="1"/>
  <c r="P49" i="1"/>
  <c r="G49" i="4" s="1"/>
  <c r="P50" i="1"/>
  <c r="H50" i="4" s="1"/>
  <c r="P51" i="1"/>
  <c r="B51" i="4" s="1"/>
  <c r="P52" i="1"/>
  <c r="B52" i="4" s="1"/>
  <c r="P53" i="1"/>
  <c r="B53" i="4" s="1"/>
  <c r="P54" i="1"/>
  <c r="C54" i="4" s="1"/>
  <c r="P55" i="1"/>
  <c r="C55" i="4" s="1"/>
  <c r="P56" i="1"/>
  <c r="C56" i="4" s="1"/>
  <c r="P57" i="1"/>
  <c r="C57" i="4" s="1"/>
  <c r="P58" i="1"/>
  <c r="C58" i="4" s="1"/>
  <c r="P59" i="1"/>
  <c r="C59" i="4" s="1"/>
  <c r="P60" i="1"/>
  <c r="D60" i="4" s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 l="1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 l="1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<sst xmlns="http://schemas.openxmlformats.org/spreadsheetml/2006/main" count="1843" uniqueCount="200">
  <si>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</si>
  <si>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</si>
  <si>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</si>
  <si>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</si>
  <si>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</si>
  <si>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</si>
  <si>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</si>
  <si>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</si>
  <si>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</si>
  <si>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</si>
  <si>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</si>
  <si>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</si>
  <si>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</si>
  <si>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</si>
  <si>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</si>
  <si>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</si>
  <si>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</si>
  <si>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</si>
  <si>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</si>
  <si>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</si>
  <si>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</si>
  <si>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</si>
  <si>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</si>
  <si>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</si>
  <si>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</si>
  <si>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</si>
  <si>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</si>
  <si>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</si>
  <si>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</si>
  <si>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</si>
  <si>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</si>
  <si>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</si>
  <si>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</si>
  <si>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</si>
  <si>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</si>
  <si>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</si>
  <si>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</si>
  <si>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</si>
  <si>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</si>
  <si>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</si>
  <si>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</si>
  <si>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</si>
  <si>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</si>
  <si>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</si>
  <si>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</si>
  <si>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</si>
  <si>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</si>
  <si>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</si>
  <si>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</si>
  <si>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</si>
  <si>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</si>
  <si>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</si>
  <si>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</si>
  <si>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</si>
  <si>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</si>
  <si>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</si>
  <si>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</si>
  <si>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</si>
  <si>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</si>
  <si>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</si>
  <si>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</si>
  <si>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</si>
  <si>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</si>
  <si>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</si>
  <si>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</si>
  <si>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</si>
  <si>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</si>
  <si>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</si>
  <si>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</si>
  <si>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</si>
  <si>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</si>
  <si>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</si>
  <si>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</si>
  <si>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</si>
  <si>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</si>
  <si>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</si>
  <si>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</si>
  <si>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</si>
  <si>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</si>
  <si>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</si>
  <si>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</si>
  <si>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</si>
  <si>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</si>
  <si>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</si>
  <si>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</si>
  <si>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</si>
  <si>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</si>
  <si>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</si>
  <si>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</si>
  <si>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</si>
  <si>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</si>
  <si>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</si>
  <si>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</si>
  <si>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</si>
  <si>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</si>
  <si>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</si>
  <si>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</si>
  <si>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</si>
  <si>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</si>
  <si>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</si>
  <si>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</si>
  <si>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</si>
  <si>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</si>
  <si>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</si>
  <si>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</si>
  <si>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</si>
  <si>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</si>
  <si>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</si>
  <si>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</si>
  <si>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</si>
  <si>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</si>
  <si>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</si>
  <si>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</si>
  <si>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</si>
  <si>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</si>
  <si>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</si>
  <si>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</si>
  <si>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</si>
  <si>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</si>
  <si>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</si>
  <si>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</si>
  <si>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</si>
  <si>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</si>
  <si>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</si>
  <si>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</si>
  <si>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</si>
  <si>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</si>
  <si>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</si>
  <si>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</si>
  <si>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</si>
  <si>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</si>
  <si>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</si>
  <si>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</si>
  <si>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</si>
  <si>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</si>
  <si>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</si>
  <si>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</si>
  <si>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</si>
  <si>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</si>
  <si>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EST Date</t>
  </si>
  <si>
    <t>Reason</t>
  </si>
  <si>
    <t>Vacation Leave</t>
  </si>
  <si>
    <t>Maternity Leave</t>
  </si>
  <si>
    <t>Called Off</t>
  </si>
  <si>
    <t>Running Late (No ETA)</t>
  </si>
  <si>
    <t>Running Late (ETA : 17:00)</t>
  </si>
  <si>
    <t>Left Early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</si>
  <si>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</si>
  <si>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</si>
  <si>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</si>
  <si>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</si>
  <si>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</si>
  <si>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</si>
  <si>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</si>
  <si>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</si>
  <si>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</si>
  <si>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</si>
  <si>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</si>
  <si>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Column1</t>
  </si>
  <si>
    <t>Shift EST</t>
  </si>
  <si>
    <t>Shift</t>
  </si>
  <si>
    <t>20:30 - 07:30</t>
  </si>
  <si>
    <t>Analyst Name</t>
  </si>
  <si>
    <t>Date</t>
  </si>
  <si>
    <t>Status</t>
  </si>
  <si>
    <t>Date Submitted</t>
  </si>
  <si>
    <t>Submitted By</t>
  </si>
  <si>
    <r>
      <t xml:space="preserve">Ressan Resus </t>
    </r>
    <r>
      <rPr>
        <sz val="7"/>
        <color rgb="FF333333"/>
        <rFont val="Arial"/>
        <family val="2"/>
      </rPr>
      <t>💬</t>
    </r>
  </si>
  <si>
    <t>Approved</t>
  </si>
  <si>
    <t>Christopher Borromeo</t>
  </si>
  <si>
    <t>2026-10-16 01:37:37</t>
  </si>
  <si>
    <t>Daemianne Ashley Belarmino</t>
  </si>
  <si>
    <t>Lyn Abellar</t>
  </si>
  <si>
    <t>2026-09-15 12:34:20</t>
  </si>
  <si>
    <t>2026-09-14 09:13:43</t>
  </si>
  <si>
    <t>2026-09-14 09:08:54</t>
  </si>
  <si>
    <r>
      <t xml:space="preserve">Roel Gutay </t>
    </r>
    <r>
      <rPr>
        <sz val="7"/>
        <color rgb="FF333333"/>
        <rFont val="Arial"/>
        <family val="2"/>
      </rPr>
      <t>💬</t>
    </r>
  </si>
  <si>
    <t>Denied</t>
  </si>
  <si>
    <t>Anne Valencia</t>
  </si>
  <si>
    <t>2026-09-14 07:16:48</t>
  </si>
  <si>
    <t>Roel Gutay</t>
  </si>
  <si>
    <r>
      <t xml:space="preserve">Jarrah Jane De Castro </t>
    </r>
    <r>
      <rPr>
        <sz val="7"/>
        <color rgb="FF333333"/>
        <rFont val="Arial"/>
        <family val="2"/>
      </rPr>
      <t>💬</t>
    </r>
  </si>
  <si>
    <t>2026-09-10 17:39:11</t>
  </si>
  <si>
    <t>Jarrah Jane De Castro</t>
  </si>
  <si>
    <t>2026-09-08 10:08:45</t>
  </si>
  <si>
    <t>2026-09-08 10:06:48</t>
  </si>
  <si>
    <t>2026-08-11 08:48:29</t>
  </si>
  <si>
    <t>2026-09-22 09:05:53</t>
  </si>
  <si>
    <t>2026-09-20 04:46:54</t>
  </si>
  <si>
    <t>2026-09-20 04:46:44</t>
  </si>
  <si>
    <t>2026-09-18 19:16:51</t>
  </si>
  <si>
    <t>2026-09-15 12:35:09</t>
  </si>
  <si>
    <r>
      <t xml:space="preserve">Contessa Cirujales </t>
    </r>
    <r>
      <rPr>
        <sz val="7"/>
        <color rgb="FF333333"/>
        <rFont val="Arial"/>
        <family val="2"/>
      </rPr>
      <t>💬</t>
    </r>
  </si>
  <si>
    <t>2026-09-13 16:58:32</t>
  </si>
  <si>
    <t>Contessa Cirujales</t>
  </si>
  <si>
    <t>2026-09-08 10:09:15</t>
  </si>
  <si>
    <t>2026-09-08 10:07:05</t>
  </si>
  <si>
    <t>2026-08-11 08:48:39</t>
  </si>
  <si>
    <t>2026-08-02 05:53:55</t>
  </si>
  <si>
    <t>Jackie Caballero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</si>
</sst>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7"/>
      <color rgb="FF3333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left"/>
    </xf>
    <xf numFmtId="0" fontId="11" fillId="0" borderId="18" xfId="0" applyFont="1" applyBorder="1" applyAlignment="1">
      <alignment vertical="top" wrapText="1"/>
    </xf>
    <xf numFmtId="14" fontId="11" fillId="0" borderId="18" xfId="0" applyNumberFormat="1" applyFont="1" applyBorder="1" applyAlignment="1">
      <alignment vertical="top" wrapText="1"/>
    </xf>
    <xf numFmtId="0" fontId="11" fillId="5" borderId="18" xfId="0" applyFont="1" applyFill="1" applyBorder="1" applyAlignment="1">
      <alignment vertical="top" wrapText="1"/>
    </xf>
    <xf numFmtId="14" fontId="11" fillId="5" borderId="18" xfId="0" applyNumberFormat="1" applyFont="1" applyFill="1" applyBorder="1" applyAlignment="1">
      <alignment vertical="top" wrapText="1"/>
    </xf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T_OLD.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_OLD"/>
    </sheetNames>
    <sheetDataSet>
      <sheetData sheetId="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5" headerRowBorderDxfId="14">
  <autoFilter ref="A1:P1048576" xr:uid="{F6BCE8E2-0F01-4FAE-891E-3D388D371CBD}">
    <filterColumn colId="13">
      <filters>
        <filter val="Christopher Rodas"/>
      </filters>
    </filterColumn>
  </autoFilter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3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4" activePane="bottomLeft" state="frozen"/>
      <selection pane="bottomLeft" activeCell="A55" sqref="A55"/>
    </sheetView>
  </sheetViews>
  <sheetFormatPr defaultRowHeight="14.4" x14ac:dyDescent="0.3"/>
  <cols>
    <col min="1" max="1" width="27.664062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 x14ac:dyDescent="0.3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42" t="s">
        <v>50</v>
      </c>
      <c r="B14" s="47" t="s">
        <v>17</v>
      </c>
      <c r="C14" s="47" t="s">
        <v>17</v>
      </c>
      <c r="D14" s="47" t="s">
        <v>17</v>
      </c>
      <c r="E14" s="49" t="s">
        <v>51</v>
      </c>
      <c r="F14" s="49" t="s">
        <v>51</v>
      </c>
      <c r="G14" s="49" t="s">
        <v>51</v>
      </c>
      <c r="H14" s="49" t="s">
        <v>51</v>
      </c>
      <c r="I14" s="50" t="s">
        <v>32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26</v>
      </c>
      <c r="O14" s="49" t="s">
        <v>51</v>
      </c>
      <c r="P14">
        <f t="shared" si="0"/>
        <v>1</v>
      </c>
    </row>
    <row r="15" spans="1:16" x14ac:dyDescent="0.3">
      <c r="A15" s="45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 x14ac:dyDescent="0.3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 x14ac:dyDescent="0.3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 x14ac:dyDescent="0.3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 x14ac:dyDescent="0.3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 x14ac:dyDescent="0.3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 x14ac:dyDescent="0.3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 x14ac:dyDescent="0.3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 x14ac:dyDescent="0.3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 x14ac:dyDescent="0.3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 x14ac:dyDescent="0.3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 x14ac:dyDescent="0.3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 x14ac:dyDescent="0.3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 x14ac:dyDescent="0.3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 x14ac:dyDescent="0.3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 x14ac:dyDescent="0.3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 x14ac:dyDescent="0.3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 x14ac:dyDescent="0.3">
      <c r="A33" s="44" t="s">
        <v>82</v>
      </c>
      <c r="B33" s="47" t="s">
        <v>17</v>
      </c>
      <c r="C33" s="47" t="s">
        <v>17</v>
      </c>
      <c r="D33" s="49" t="s">
        <v>83</v>
      </c>
      <c r="E33" s="49" t="s">
        <v>83</v>
      </c>
      <c r="F33" s="49" t="s">
        <v>83</v>
      </c>
      <c r="G33" s="49" t="s">
        <v>83</v>
      </c>
      <c r="H33" s="47" t="s">
        <v>17</v>
      </c>
      <c r="I33" s="50" t="s">
        <v>84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26</v>
      </c>
      <c r="O33" s="49" t="s">
        <v>83</v>
      </c>
      <c r="P33">
        <f t="shared" si="0"/>
        <v>0</v>
      </c>
    </row>
    <row r="34" spans="1:16" s="35" customFormat="1" x14ac:dyDescent="0.3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 x14ac:dyDescent="0.3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 x14ac:dyDescent="0.3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 x14ac:dyDescent="0.3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 x14ac:dyDescent="0.3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 x14ac:dyDescent="0.3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 x14ac:dyDescent="0.3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 x14ac:dyDescent="0.3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 x14ac:dyDescent="0.3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 x14ac:dyDescent="0.3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 x14ac:dyDescent="0.3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 x14ac:dyDescent="0.3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 x14ac:dyDescent="0.3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 x14ac:dyDescent="0.3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 x14ac:dyDescent="0.3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 x14ac:dyDescent="0.3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 x14ac:dyDescent="0.3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 x14ac:dyDescent="0.3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 x14ac:dyDescent="0.3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 x14ac:dyDescent="0.3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 x14ac:dyDescent="0.3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 x14ac:dyDescent="0.3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 x14ac:dyDescent="0.3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 x14ac:dyDescent="0.3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 x14ac:dyDescent="0.3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 x14ac:dyDescent="0.3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 x14ac:dyDescent="0.3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 x14ac:dyDescent="0.3">
      <c r="A61" s="43" t="s">
        <v>126</v>
      </c>
      <c r="B61" s="48" t="s">
        <v>35</v>
      </c>
      <c r="C61" s="48" t="s">
        <v>35</v>
      </c>
      <c r="D61" s="48" t="s">
        <v>35</v>
      </c>
      <c r="E61" s="48" t="s">
        <v>17</v>
      </c>
      <c r="F61" s="48" t="s">
        <v>35</v>
      </c>
      <c r="G61" s="48" t="s">
        <v>17</v>
      </c>
      <c r="H61" s="48" t="s">
        <v>17</v>
      </c>
      <c r="I61" s="48" t="s">
        <v>25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37</v>
      </c>
      <c r="O61" s="48" t="s">
        <v>35</v>
      </c>
      <c r="P61">
        <f t="shared" ref="P61" si="2">IF(O61="OFF",0,
IF(VALUE(LEFT(O61,2))&lt;12,0,1))</f>
        <v>0</v>
      </c>
    </row>
    <row r="62" spans="1:16" x14ac:dyDescent="0.3">
      <c r="A62" s="43" t="s">
        <v>127</v>
      </c>
      <c r="B62" s="48" t="s">
        <v>123</v>
      </c>
      <c r="C62" s="48" t="s">
        <v>123</v>
      </c>
      <c r="D62" s="48" t="s">
        <v>123</v>
      </c>
      <c r="E62" s="48" t="s">
        <v>123</v>
      </c>
      <c r="F62" s="48" t="s">
        <v>17</v>
      </c>
      <c r="G62" s="48" t="s">
        <v>17</v>
      </c>
      <c r="H62" s="48" t="s">
        <v>17</v>
      </c>
      <c r="I62" s="48" t="s">
        <v>29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26</v>
      </c>
      <c r="O62" s="48" t="s">
        <v>123</v>
      </c>
    </row>
    <row r="63" spans="1:16" x14ac:dyDescent="0.3">
      <c r="A63" s="43" t="s">
        <v>128</v>
      </c>
      <c r="B63" s="48" t="s">
        <v>24</v>
      </c>
      <c r="C63" s="48" t="s">
        <v>17</v>
      </c>
      <c r="D63" s="48" t="s">
        <v>24</v>
      </c>
      <c r="E63" s="48" t="s">
        <v>24</v>
      </c>
      <c r="F63" s="48" t="s">
        <v>24</v>
      </c>
      <c r="G63" s="48" t="s">
        <v>17</v>
      </c>
      <c r="H63" s="48" t="s">
        <v>17</v>
      </c>
      <c r="I63" s="48" t="s">
        <v>43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37</v>
      </c>
      <c r="O63" s="48" t="s">
        <v>24</v>
      </c>
    </row>
    <row r="64" spans="1:16" x14ac:dyDescent="0.3">
      <c r="A64" s="42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6" t="s">
        <v>130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3">
      <c r="A66" s="41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2" priority="3" operator="equal">
      <formula>"OFF"</formula>
    </cfRule>
  </conditionalFormatting>
  <conditionalFormatting sqref="I56:I57">
    <cfRule type="cellIs" dxfId="11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4C8C-CFC6-4BCE-9082-33140BF9E8E9}">
  <dimension ref="A1:G20"/>
  <sheetViews>
    <sheetView workbookViewId="0">
      <selection activeCell="A11" sqref="A11:XFD11"/>
    </sheetView>
  </sheetViews>
  <sheetFormatPr defaultRowHeight="14.4" x14ac:dyDescent="0.3"/>
  <cols>
    <col min="1" max="7" width="21.33203125" customWidth="1"/>
  </cols>
  <sheetData>
    <row r="1" spans="1:7" ht="15" thickBot="1" x14ac:dyDescent="0.35">
      <c r="A1" s="79" t="s">
        <v>162</v>
      </c>
      <c r="B1" s="79" t="s">
        <v>163</v>
      </c>
      <c r="C1" s="79" t="s">
        <v>160</v>
      </c>
      <c r="D1" s="79" t="s">
        <v>164</v>
      </c>
      <c r="E1" s="79" t="s">
        <v>13</v>
      </c>
      <c r="F1" s="79" t="s">
        <v>165</v>
      </c>
      <c r="G1" s="79" t="s">
        <v>166</v>
      </c>
    </row>
    <row r="2" spans="1:7" ht="15" thickBot="1" x14ac:dyDescent="0.35">
      <c r="A2" s="80" t="s">
        <v>167</v>
      </c>
      <c r="B2" s="81">
        <v>46321</v>
      </c>
      <c r="C2" s="80" t="s">
        <v>83</v>
      </c>
      <c r="D2" s="80" t="s">
        <v>168</v>
      </c>
      <c r="E2" s="80" t="s">
        <v>169</v>
      </c>
      <c r="F2" s="80" t="s">
        <v>170</v>
      </c>
      <c r="G2" s="80" t="s">
        <v>169</v>
      </c>
    </row>
    <row r="3" spans="1:7" ht="15" thickBot="1" x14ac:dyDescent="0.35">
      <c r="A3" s="80" t="s">
        <v>122</v>
      </c>
      <c r="B3" s="81">
        <v>46321</v>
      </c>
      <c r="C3" s="80" t="s">
        <v>123</v>
      </c>
      <c r="D3" s="80" t="s">
        <v>168</v>
      </c>
      <c r="E3" s="80" t="s">
        <v>33</v>
      </c>
      <c r="F3" s="80" t="s">
        <v>173</v>
      </c>
      <c r="G3" s="80" t="s">
        <v>122</v>
      </c>
    </row>
    <row r="4" spans="1:7" ht="15" thickBot="1" x14ac:dyDescent="0.35">
      <c r="A4" s="80" t="s">
        <v>85</v>
      </c>
      <c r="B4" s="81">
        <v>46321</v>
      </c>
      <c r="C4" s="80" t="s">
        <v>64</v>
      </c>
      <c r="D4" s="80" t="s">
        <v>168</v>
      </c>
      <c r="E4" s="80" t="s">
        <v>19</v>
      </c>
      <c r="F4" s="80" t="s">
        <v>174</v>
      </c>
      <c r="G4" s="80" t="s">
        <v>85</v>
      </c>
    </row>
    <row r="5" spans="1:7" ht="15" thickBot="1" x14ac:dyDescent="0.35">
      <c r="A5" s="80" t="s">
        <v>70</v>
      </c>
      <c r="B5" s="81">
        <v>46321</v>
      </c>
      <c r="C5" s="80" t="s">
        <v>56</v>
      </c>
      <c r="D5" s="80" t="s">
        <v>168</v>
      </c>
      <c r="E5" s="80" t="s">
        <v>19</v>
      </c>
      <c r="F5" s="80" t="s">
        <v>175</v>
      </c>
      <c r="G5" s="80" t="s">
        <v>70</v>
      </c>
    </row>
    <row r="6" spans="1:7" ht="15" thickBot="1" x14ac:dyDescent="0.35">
      <c r="A6" s="80" t="s">
        <v>176</v>
      </c>
      <c r="B6" s="81">
        <v>46321</v>
      </c>
      <c r="C6" s="80" t="s">
        <v>64</v>
      </c>
      <c r="D6" s="80" t="s">
        <v>177</v>
      </c>
      <c r="E6" s="80" t="s">
        <v>178</v>
      </c>
      <c r="F6" s="80" t="s">
        <v>179</v>
      </c>
      <c r="G6" s="80" t="s">
        <v>180</v>
      </c>
    </row>
    <row r="7" spans="1:7" ht="15" thickBot="1" x14ac:dyDescent="0.35">
      <c r="A7" s="80" t="s">
        <v>181</v>
      </c>
      <c r="B7" s="81">
        <v>46321</v>
      </c>
      <c r="C7" s="80" t="s">
        <v>98</v>
      </c>
      <c r="D7" s="80" t="s">
        <v>168</v>
      </c>
      <c r="E7" s="80" t="s">
        <v>169</v>
      </c>
      <c r="F7" s="80" t="s">
        <v>182</v>
      </c>
      <c r="G7" s="80" t="s">
        <v>183</v>
      </c>
    </row>
    <row r="8" spans="1:7" ht="15" thickBot="1" x14ac:dyDescent="0.35">
      <c r="A8" s="80" t="s">
        <v>85</v>
      </c>
      <c r="B8" s="81">
        <v>46321</v>
      </c>
      <c r="C8" s="80" t="s">
        <v>64</v>
      </c>
      <c r="D8" s="80" t="s">
        <v>177</v>
      </c>
      <c r="E8" s="80" t="s">
        <v>19</v>
      </c>
      <c r="F8" s="80" t="s">
        <v>184</v>
      </c>
      <c r="G8" s="80" t="s">
        <v>85</v>
      </c>
    </row>
    <row r="9" spans="1:7" ht="15" thickBot="1" x14ac:dyDescent="0.35">
      <c r="A9" s="80" t="s">
        <v>70</v>
      </c>
      <c r="B9" s="81">
        <v>46321</v>
      </c>
      <c r="C9" s="80" t="s">
        <v>56</v>
      </c>
      <c r="D9" s="80" t="s">
        <v>177</v>
      </c>
      <c r="E9" s="80" t="s">
        <v>19</v>
      </c>
      <c r="F9" s="80" t="s">
        <v>185</v>
      </c>
      <c r="G9" s="80" t="s">
        <v>70</v>
      </c>
    </row>
    <row r="10" spans="1:7" ht="15" thickBot="1" x14ac:dyDescent="0.35">
      <c r="A10" s="80" t="s">
        <v>58</v>
      </c>
      <c r="B10" s="81">
        <v>46321</v>
      </c>
      <c r="C10" s="80" t="s">
        <v>35</v>
      </c>
      <c r="D10" s="80" t="s">
        <v>168</v>
      </c>
      <c r="E10" s="80" t="s">
        <v>178</v>
      </c>
      <c r="F10" s="80" t="s">
        <v>186</v>
      </c>
      <c r="G10" s="80" t="s">
        <v>58</v>
      </c>
    </row>
    <row r="11" spans="1:7" ht="15" thickBot="1" x14ac:dyDescent="0.35">
      <c r="A11" s="80" t="s">
        <v>171</v>
      </c>
      <c r="B11" s="81">
        <v>46322</v>
      </c>
      <c r="C11" s="80" t="s">
        <v>16</v>
      </c>
      <c r="D11" s="80" t="s">
        <v>168</v>
      </c>
      <c r="E11" s="80" t="s">
        <v>41</v>
      </c>
      <c r="F11" s="80" t="s">
        <v>187</v>
      </c>
      <c r="G11" s="80" t="s">
        <v>41</v>
      </c>
    </row>
    <row r="12" spans="1:7" ht="15" thickBot="1" x14ac:dyDescent="0.35">
      <c r="A12" s="80" t="s">
        <v>82</v>
      </c>
      <c r="B12" s="81">
        <v>46322</v>
      </c>
      <c r="C12" s="80" t="s">
        <v>31</v>
      </c>
      <c r="D12" s="80" t="s">
        <v>168</v>
      </c>
      <c r="E12" s="80" t="s">
        <v>172</v>
      </c>
      <c r="F12" s="80" t="s">
        <v>188</v>
      </c>
      <c r="G12" s="80" t="s">
        <v>172</v>
      </c>
    </row>
    <row r="13" spans="1:7" ht="15" thickBot="1" x14ac:dyDescent="0.35">
      <c r="A13" s="80" t="s">
        <v>50</v>
      </c>
      <c r="B13" s="81">
        <v>46322</v>
      </c>
      <c r="C13" s="80" t="s">
        <v>74</v>
      </c>
      <c r="D13" s="80" t="s">
        <v>168</v>
      </c>
      <c r="E13" s="80" t="s">
        <v>172</v>
      </c>
      <c r="F13" s="80" t="s">
        <v>189</v>
      </c>
      <c r="G13" s="80" t="s">
        <v>172</v>
      </c>
    </row>
    <row r="14" spans="1:7" ht="15" thickBot="1" x14ac:dyDescent="0.35">
      <c r="A14" s="80" t="s">
        <v>107</v>
      </c>
      <c r="B14" s="81">
        <v>46322</v>
      </c>
      <c r="C14" s="80" t="s">
        <v>66</v>
      </c>
      <c r="D14" s="80" t="s">
        <v>177</v>
      </c>
      <c r="E14" s="80" t="s">
        <v>19</v>
      </c>
      <c r="F14" s="80" t="s">
        <v>190</v>
      </c>
      <c r="G14" s="80" t="s">
        <v>107</v>
      </c>
    </row>
    <row r="15" spans="1:7" ht="15" thickBot="1" x14ac:dyDescent="0.35">
      <c r="A15" s="80" t="s">
        <v>122</v>
      </c>
      <c r="B15" s="81">
        <v>46322</v>
      </c>
      <c r="C15" s="80" t="s">
        <v>123</v>
      </c>
      <c r="D15" s="80" t="s">
        <v>168</v>
      </c>
      <c r="E15" s="80" t="s">
        <v>33</v>
      </c>
      <c r="F15" s="80" t="s">
        <v>191</v>
      </c>
      <c r="G15" s="80" t="s">
        <v>122</v>
      </c>
    </row>
    <row r="16" spans="1:7" ht="15" thickBot="1" x14ac:dyDescent="0.35">
      <c r="A16" s="80" t="s">
        <v>192</v>
      </c>
      <c r="B16" s="81">
        <v>46322</v>
      </c>
      <c r="C16" s="80" t="s">
        <v>21</v>
      </c>
      <c r="D16" s="80" t="s">
        <v>168</v>
      </c>
      <c r="E16" s="80" t="s">
        <v>169</v>
      </c>
      <c r="F16" s="80" t="s">
        <v>193</v>
      </c>
      <c r="G16" s="80" t="s">
        <v>194</v>
      </c>
    </row>
    <row r="17" spans="1:7" ht="15" thickBot="1" x14ac:dyDescent="0.35">
      <c r="A17" s="80" t="s">
        <v>85</v>
      </c>
      <c r="B17" s="81">
        <v>46322</v>
      </c>
      <c r="C17" s="80" t="s">
        <v>64</v>
      </c>
      <c r="D17" s="80" t="s">
        <v>168</v>
      </c>
      <c r="E17" s="80" t="s">
        <v>19</v>
      </c>
      <c r="F17" s="80" t="s">
        <v>195</v>
      </c>
      <c r="G17" s="80" t="s">
        <v>85</v>
      </c>
    </row>
    <row r="18" spans="1:7" ht="15" thickBot="1" x14ac:dyDescent="0.35">
      <c r="A18" s="80" t="s">
        <v>70</v>
      </c>
      <c r="B18" s="81">
        <v>46322</v>
      </c>
      <c r="C18" s="80" t="s">
        <v>56</v>
      </c>
      <c r="D18" s="80" t="s">
        <v>168</v>
      </c>
      <c r="E18" s="80" t="s">
        <v>19</v>
      </c>
      <c r="F18" s="80" t="s">
        <v>196</v>
      </c>
      <c r="G18" s="80" t="s">
        <v>70</v>
      </c>
    </row>
    <row r="19" spans="1:7" ht="15" thickBot="1" x14ac:dyDescent="0.35">
      <c r="A19" s="82" t="s">
        <v>58</v>
      </c>
      <c r="B19" s="83">
        <v>46322</v>
      </c>
      <c r="C19" s="82" t="s">
        <v>35</v>
      </c>
      <c r="D19" s="82" t="s">
        <v>168</v>
      </c>
      <c r="E19" s="82" t="s">
        <v>178</v>
      </c>
      <c r="F19" s="82" t="s">
        <v>197</v>
      </c>
      <c r="G19" s="82" t="s">
        <v>58</v>
      </c>
    </row>
    <row r="20" spans="1:7" x14ac:dyDescent="0.3">
      <c r="A20" s="80" t="s">
        <v>65</v>
      </c>
      <c r="B20" s="81">
        <v>46322</v>
      </c>
      <c r="C20" s="80" t="s">
        <v>66</v>
      </c>
      <c r="D20" s="80" t="s">
        <v>168</v>
      </c>
      <c r="E20" s="80" t="s">
        <v>41</v>
      </c>
      <c r="F20" s="80" t="s">
        <v>198</v>
      </c>
      <c r="G20" s="80" t="s">
        <v>199</v>
      </c>
    </row>
  </sheetData>
  <autoFilter ref="A1:G20" xr:uid="{5D304C8C-CFC6-4BCE-9082-33140BF9E8E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A3" sqref="A3:XFD3"/>
    </sheetView>
  </sheetViews>
  <sheetFormatPr defaultColWidth="9.109375" defaultRowHeight="14.4" x14ac:dyDescent="0.3"/>
  <cols>
    <col min="1" max="1" width="30.33203125" customWidth="1"/>
    <col min="2" max="8" width="13" customWidth="1"/>
    <col min="9" max="9" width="20" bestFit="1" customWidth="1"/>
    <col min="14" max="14" width="18.5546875" bestFit="1" customWidth="1"/>
    <col min="15" max="15" width="13.33203125" bestFit="1" customWidth="1"/>
    <col min="16" max="16" width="9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 x14ac:dyDescent="0.3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D63" sqref="D63"/>
    </sheetView>
  </sheetViews>
  <sheetFormatPr defaultRowHeight="14.4" zeroHeight="1" x14ac:dyDescent="0.3"/>
  <cols>
    <col min="1" max="1" width="24.5546875" bestFit="1" customWidth="1"/>
    <col min="2" max="3" width="11.44140625" customWidth="1"/>
    <col min="4" max="4" width="12.5546875" customWidth="1"/>
    <col min="5" max="8" width="11.44140625" customWidth="1"/>
    <col min="9" max="9" width="14" customWidth="1"/>
    <col min="10" max="11" width="9" customWidth="1"/>
    <col min="12" max="12" width="7.77734375" customWidth="1"/>
    <col min="13" max="13" width="9" customWidth="1"/>
    <col min="14" max="14" width="17.33203125" customWidth="1"/>
    <col min="15" max="15" width="12.6640625" bestFit="1" customWidth="1"/>
    <col min="16" max="16" width="8.88671875" customWidth="1"/>
  </cols>
  <sheetData>
    <row r="1" spans="1:16" x14ac:dyDescent="0.3">
      <c r="A1" s="56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  <c r="H1" s="57" t="s">
        <v>7</v>
      </c>
      <c r="I1" s="58" t="s">
        <v>8</v>
      </c>
      <c r="J1" s="57" t="s">
        <v>9</v>
      </c>
      <c r="K1" s="57" t="s">
        <v>10</v>
      </c>
      <c r="L1" s="57" t="s">
        <v>11</v>
      </c>
      <c r="M1" s="57" t="s">
        <v>12</v>
      </c>
      <c r="N1" s="57" t="s">
        <v>13</v>
      </c>
      <c r="O1" s="57" t="s">
        <v>159</v>
      </c>
      <c r="P1" s="57" t="s">
        <v>158</v>
      </c>
    </row>
    <row r="2" spans="1:16" hidden="1" x14ac:dyDescent="0.3">
      <c r="A2" s="59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60">
        <v>0.125</v>
      </c>
      <c r="K2" s="60">
        <v>0.35416666666666669</v>
      </c>
      <c r="L2" s="60">
        <v>0.26041666666666669</v>
      </c>
      <c r="M2" s="60">
        <v>0.44791666666666669</v>
      </c>
      <c r="N2" s="61" t="s">
        <v>19</v>
      </c>
      <c r="O2" s="60" t="s">
        <v>16</v>
      </c>
      <c r="P2">
        <f t="shared" ref="P2:P65" si="0">IF(O2="OFF",0,
IF(VALUE(LEFT(O2,2))&lt;12,0,1))</f>
        <v>0</v>
      </c>
    </row>
    <row r="3" spans="1:16" hidden="1" x14ac:dyDescent="0.3">
      <c r="A3" s="59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 hidden="1" x14ac:dyDescent="0.3">
      <c r="A4" s="59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147</v>
      </c>
      <c r="O4" s="3" t="s">
        <v>24</v>
      </c>
      <c r="P4">
        <f t="shared" si="0"/>
        <v>0</v>
      </c>
    </row>
    <row r="5" spans="1:16" hidden="1" x14ac:dyDescent="0.3">
      <c r="A5" s="59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147</v>
      </c>
      <c r="O5" s="3" t="s">
        <v>28</v>
      </c>
      <c r="P5">
        <f t="shared" si="0"/>
        <v>0</v>
      </c>
    </row>
    <row r="6" spans="1:16" x14ac:dyDescent="0.3">
      <c r="A6" s="62" t="s">
        <v>148</v>
      </c>
      <c r="B6" s="63" t="s">
        <v>16</v>
      </c>
      <c r="C6" s="63" t="s">
        <v>16</v>
      </c>
      <c r="D6" s="63" t="s">
        <v>17</v>
      </c>
      <c r="E6" s="63" t="s">
        <v>17</v>
      </c>
      <c r="F6" s="63" t="s">
        <v>17</v>
      </c>
      <c r="G6" s="63" t="s">
        <v>16</v>
      </c>
      <c r="H6" s="63" t="s">
        <v>16</v>
      </c>
      <c r="I6" s="64" t="s">
        <v>18</v>
      </c>
      <c r="J6" s="65">
        <v>0.125</v>
      </c>
      <c r="K6" s="65">
        <v>0.33333333333333331</v>
      </c>
      <c r="L6" s="65">
        <v>0.21875</v>
      </c>
      <c r="M6" s="65">
        <v>0.4375</v>
      </c>
      <c r="N6" s="66" t="s">
        <v>41</v>
      </c>
      <c r="O6" s="65" t="s">
        <v>16</v>
      </c>
      <c r="P6">
        <f t="shared" si="0"/>
        <v>0</v>
      </c>
    </row>
    <row r="7" spans="1:16" hidden="1" x14ac:dyDescent="0.3">
      <c r="A7" s="59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 hidden="1" x14ac:dyDescent="0.3">
      <c r="A8" s="59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149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 hidden="1" x14ac:dyDescent="0.3">
      <c r="A9" s="59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 x14ac:dyDescent="0.3">
      <c r="A10" s="59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150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 hidden="1" x14ac:dyDescent="0.3">
      <c r="A11" s="59" t="s">
        <v>151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147</v>
      </c>
      <c r="O11" s="3" t="s">
        <v>24</v>
      </c>
      <c r="P11">
        <f t="shared" si="0"/>
        <v>0</v>
      </c>
    </row>
    <row r="12" spans="1:16" hidden="1" x14ac:dyDescent="0.3">
      <c r="A12" s="59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 hidden="1" x14ac:dyDescent="0.3">
      <c r="A13" s="59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 hidden="1" x14ac:dyDescent="0.3">
      <c r="A14" s="59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 x14ac:dyDescent="0.3">
      <c r="A15" s="59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 hidden="1" x14ac:dyDescent="0.3">
      <c r="A16" s="67" t="s">
        <v>50</v>
      </c>
      <c r="B16" s="68" t="s">
        <v>21</v>
      </c>
      <c r="C16" s="68" t="s">
        <v>21</v>
      </c>
      <c r="D16" s="68" t="s">
        <v>21</v>
      </c>
      <c r="E16" s="68" t="s">
        <v>17</v>
      </c>
      <c r="F16" s="68" t="s">
        <v>17</v>
      </c>
      <c r="G16" s="68" t="s">
        <v>17</v>
      </c>
      <c r="H16" s="68" t="s">
        <v>21</v>
      </c>
      <c r="I16" s="69" t="s">
        <v>152</v>
      </c>
      <c r="J16" s="70">
        <v>0.59375</v>
      </c>
      <c r="K16" s="70">
        <v>0.84375</v>
      </c>
      <c r="L16" s="70">
        <v>0.73958333333333337</v>
      </c>
      <c r="M16" s="70">
        <v>0.94791666666666663</v>
      </c>
      <c r="N16" s="71" t="s">
        <v>147</v>
      </c>
      <c r="O16" s="70" t="s">
        <v>21</v>
      </c>
      <c r="P16">
        <f t="shared" si="0"/>
        <v>1</v>
      </c>
    </row>
    <row r="17" spans="1:16" hidden="1" x14ac:dyDescent="0.3">
      <c r="A17" s="59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147</v>
      </c>
      <c r="O17" s="3" t="s">
        <v>53</v>
      </c>
      <c r="P17">
        <f t="shared" si="0"/>
        <v>0</v>
      </c>
    </row>
    <row r="18" spans="1:16" hidden="1" x14ac:dyDescent="0.3">
      <c r="A18" s="59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147</v>
      </c>
      <c r="O18" s="3" t="s">
        <v>24</v>
      </c>
      <c r="P18">
        <f t="shared" si="0"/>
        <v>0</v>
      </c>
    </row>
    <row r="19" spans="1:16" hidden="1" x14ac:dyDescent="0.3">
      <c r="A19" s="59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 hidden="1" x14ac:dyDescent="0.3">
      <c r="A20" s="59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 hidden="1" x14ac:dyDescent="0.3">
      <c r="A21" s="59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 hidden="1" x14ac:dyDescent="0.3">
      <c r="A22" s="59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 hidden="1" x14ac:dyDescent="0.3">
      <c r="A23" s="59" t="s">
        <v>59</v>
      </c>
      <c r="B23" s="1" t="s">
        <v>153</v>
      </c>
      <c r="C23" s="1" t="s">
        <v>153</v>
      </c>
      <c r="D23" s="1" t="s">
        <v>153</v>
      </c>
      <c r="E23" s="1" t="s">
        <v>153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153</v>
      </c>
      <c r="P23">
        <f t="shared" si="0"/>
        <v>0</v>
      </c>
    </row>
    <row r="24" spans="1:16" x14ac:dyDescent="0.3">
      <c r="A24" s="67" t="s">
        <v>154</v>
      </c>
      <c r="B24" s="68" t="s">
        <v>17</v>
      </c>
      <c r="C24" s="68" t="s">
        <v>17</v>
      </c>
      <c r="D24" s="68" t="s">
        <v>17</v>
      </c>
      <c r="E24" s="72" t="s">
        <v>21</v>
      </c>
      <c r="F24" s="72" t="s">
        <v>21</v>
      </c>
      <c r="G24" s="72" t="s">
        <v>21</v>
      </c>
      <c r="H24" s="72" t="s">
        <v>21</v>
      </c>
      <c r="I24" s="68" t="s">
        <v>32</v>
      </c>
      <c r="J24" s="70">
        <v>0.625</v>
      </c>
      <c r="K24" s="70">
        <v>0.71875</v>
      </c>
      <c r="L24" s="70">
        <v>0.8125</v>
      </c>
      <c r="M24" s="70">
        <v>0.9375</v>
      </c>
      <c r="N24" s="71" t="s">
        <v>41</v>
      </c>
      <c r="O24" s="70" t="s">
        <v>21</v>
      </c>
      <c r="P24">
        <f t="shared" si="0"/>
        <v>1</v>
      </c>
    </row>
    <row r="25" spans="1:16" x14ac:dyDescent="0.3">
      <c r="A25" s="59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 hidden="1" x14ac:dyDescent="0.3">
      <c r="A26" s="59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 x14ac:dyDescent="0.3">
      <c r="A27" s="59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 hidden="1" x14ac:dyDescent="0.3">
      <c r="A28" s="59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 hidden="1" x14ac:dyDescent="0.3">
      <c r="A29" s="59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 hidden="1" x14ac:dyDescent="0.3">
      <c r="A30" s="59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 x14ac:dyDescent="0.3">
      <c r="A31" s="59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 hidden="1" x14ac:dyDescent="0.3">
      <c r="A32" s="59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149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147</v>
      </c>
      <c r="O32" s="3" t="s">
        <v>123</v>
      </c>
      <c r="P32">
        <f t="shared" si="0"/>
        <v>0</v>
      </c>
    </row>
    <row r="33" spans="1:16" x14ac:dyDescent="0.3">
      <c r="A33" s="59" t="s">
        <v>155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 hidden="1" x14ac:dyDescent="0.3">
      <c r="A34" s="59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147</v>
      </c>
      <c r="O34" s="3" t="s">
        <v>24</v>
      </c>
      <c r="P34">
        <f t="shared" si="0"/>
        <v>0</v>
      </c>
    </row>
    <row r="35" spans="1:16" hidden="1" x14ac:dyDescent="0.3">
      <c r="A35" s="59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147</v>
      </c>
      <c r="O35" s="3" t="s">
        <v>77</v>
      </c>
      <c r="P35">
        <f t="shared" si="0"/>
        <v>1</v>
      </c>
    </row>
    <row r="36" spans="1:16" hidden="1" x14ac:dyDescent="0.3">
      <c r="A36" s="59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147</v>
      </c>
      <c r="O36" s="3" t="s">
        <v>45</v>
      </c>
      <c r="P36">
        <f t="shared" si="0"/>
        <v>0</v>
      </c>
    </row>
    <row r="37" spans="1:16" hidden="1" x14ac:dyDescent="0.3">
      <c r="A37" s="59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 hidden="1" x14ac:dyDescent="0.3">
      <c r="A38" s="67" t="s">
        <v>82</v>
      </c>
      <c r="B38" s="68" t="s">
        <v>31</v>
      </c>
      <c r="C38" s="68" t="s">
        <v>31</v>
      </c>
      <c r="D38" s="68" t="s">
        <v>31</v>
      </c>
      <c r="E38" s="68" t="s">
        <v>31</v>
      </c>
      <c r="F38" s="68" t="s">
        <v>17</v>
      </c>
      <c r="G38" s="68" t="s">
        <v>17</v>
      </c>
      <c r="H38" s="68" t="s">
        <v>17</v>
      </c>
      <c r="I38" s="69" t="s">
        <v>29</v>
      </c>
      <c r="J38" s="70">
        <v>0.91666666666666663</v>
      </c>
      <c r="K38" s="70">
        <v>8.3333333333333329E-2</v>
      </c>
      <c r="L38" s="70">
        <v>0</v>
      </c>
      <c r="M38" s="70">
        <v>0.16666666666666666</v>
      </c>
      <c r="N38" s="71" t="s">
        <v>147</v>
      </c>
      <c r="O38" s="70" t="s">
        <v>31</v>
      </c>
      <c r="P38">
        <f t="shared" si="0"/>
        <v>1</v>
      </c>
    </row>
    <row r="39" spans="1:16" hidden="1" x14ac:dyDescent="0.3">
      <c r="A39" s="59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 hidden="1" x14ac:dyDescent="0.3">
      <c r="A40" s="59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 hidden="1" x14ac:dyDescent="0.3">
      <c r="A41" s="59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147</v>
      </c>
      <c r="O41" s="3" t="s">
        <v>21</v>
      </c>
      <c r="P41">
        <f t="shared" si="0"/>
        <v>1</v>
      </c>
    </row>
    <row r="42" spans="1:16" x14ac:dyDescent="0.3">
      <c r="A42" s="59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 hidden="1" x14ac:dyDescent="0.3">
      <c r="A43" s="59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 hidden="1" x14ac:dyDescent="0.3">
      <c r="A44" s="59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 x14ac:dyDescent="0.3">
      <c r="A45" s="59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 hidden="1" x14ac:dyDescent="0.3">
      <c r="A46" s="59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 hidden="1" x14ac:dyDescent="0.3">
      <c r="A47" s="59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147</v>
      </c>
      <c r="O47" s="3" t="s">
        <v>98</v>
      </c>
      <c r="P47">
        <f t="shared" si="0"/>
        <v>1</v>
      </c>
    </row>
    <row r="48" spans="1:16" hidden="1" x14ac:dyDescent="0.3">
      <c r="A48" s="59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 hidden="1" x14ac:dyDescent="0.3">
      <c r="A49" s="59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 hidden="1" x14ac:dyDescent="0.3">
      <c r="A50" s="59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 x14ac:dyDescent="0.3">
      <c r="A51" s="59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 hidden="1" x14ac:dyDescent="0.3">
      <c r="A52" s="59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 hidden="1" x14ac:dyDescent="0.3">
      <c r="A53" s="59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 hidden="1" x14ac:dyDescent="0.3">
      <c r="A54" s="59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 x14ac:dyDescent="0.3">
      <c r="A55" s="59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 hidden="1" x14ac:dyDescent="0.3">
      <c r="A56" s="59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147</v>
      </c>
      <c r="O56" s="1" t="s">
        <v>74</v>
      </c>
      <c r="P56">
        <f t="shared" si="0"/>
        <v>1</v>
      </c>
    </row>
    <row r="57" spans="1:16" x14ac:dyDescent="0.3">
      <c r="A57" s="73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 x14ac:dyDescent="0.3">
      <c r="A58" s="59" t="s">
        <v>156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 x14ac:dyDescent="0.3">
      <c r="A59" s="59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 hidden="1" x14ac:dyDescent="0.3">
      <c r="A60" s="59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 hidden="1" x14ac:dyDescent="0.3">
      <c r="A61" s="59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 hidden="1" x14ac:dyDescent="0.3">
      <c r="A62" s="59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 hidden="1" x14ac:dyDescent="0.3">
      <c r="A63" s="59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147</v>
      </c>
      <c r="O63" s="3" t="s">
        <v>35</v>
      </c>
      <c r="P63">
        <f t="shared" si="0"/>
        <v>0</v>
      </c>
    </row>
    <row r="64" spans="1:16" hidden="1" x14ac:dyDescent="0.3">
      <c r="A64" s="59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 hidden="1" x14ac:dyDescent="0.3">
      <c r="A65" s="59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 hidden="1" x14ac:dyDescent="0.3">
      <c r="A66" s="59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4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147</v>
      </c>
      <c r="O66" s="3" t="s">
        <v>68</v>
      </c>
      <c r="P66">
        <f t="shared" ref="P66:P68" si="1">IF(O66="OFF",0,
IF(VALUE(LEFT(O66,2))&lt;12,0,1))</f>
        <v>0</v>
      </c>
    </row>
    <row r="67" spans="1:16" x14ac:dyDescent="0.3">
      <c r="A67" s="67" t="s">
        <v>157</v>
      </c>
      <c r="B67" s="68" t="s">
        <v>123</v>
      </c>
      <c r="C67" s="68" t="s">
        <v>123</v>
      </c>
      <c r="D67" s="68" t="s">
        <v>123</v>
      </c>
      <c r="E67" s="68" t="s">
        <v>17</v>
      </c>
      <c r="F67" s="68" t="s">
        <v>17</v>
      </c>
      <c r="G67" s="68" t="s">
        <v>17</v>
      </c>
      <c r="H67" s="68" t="s">
        <v>123</v>
      </c>
      <c r="I67" s="69" t="s">
        <v>22</v>
      </c>
      <c r="J67" s="70">
        <v>0.36458333333333331</v>
      </c>
      <c r="K67" s="70">
        <v>0.57291666666666663</v>
      </c>
      <c r="L67" s="70">
        <v>0.44791666666666669</v>
      </c>
      <c r="M67" s="70">
        <v>0.67708333333333337</v>
      </c>
      <c r="N67" s="71" t="s">
        <v>41</v>
      </c>
      <c r="O67" s="70" t="s">
        <v>123</v>
      </c>
      <c r="P67">
        <f t="shared" si="1"/>
        <v>0</v>
      </c>
    </row>
    <row r="68" spans="1:16" hidden="1" x14ac:dyDescent="0.3">
      <c r="A68" s="59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0" priority="8" operator="equal">
      <formula>"OFF"</formula>
    </cfRule>
  </conditionalFormatting>
  <conditionalFormatting sqref="I61:I62">
    <cfRule type="cellIs" dxfId="9" priority="7" operator="equal">
      <formula>"OFF"</formula>
    </cfRule>
  </conditionalFormatting>
  <conditionalFormatting sqref="O12:O14">
    <cfRule type="cellIs" dxfId="8" priority="4" operator="equal">
      <formula>"OFF"</formula>
    </cfRule>
  </conditionalFormatting>
  <conditionalFormatting sqref="O51:O56">
    <cfRule type="cellIs" dxfId="7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sheetPr filterMode="1"/>
  <dimension ref="A1:P68"/>
  <sheetViews>
    <sheetView workbookViewId="0">
      <selection sqref="A1:XFD1"/>
    </sheetView>
  </sheetViews>
  <sheetFormatPr defaultRowHeight="14.4" x14ac:dyDescent="0.3"/>
  <cols>
    <col min="1" max="1" width="24.5546875" bestFit="1" customWidth="1"/>
    <col min="2" max="8" width="11.44140625" bestFit="1" customWidth="1"/>
    <col min="9" max="9" width="14" bestFit="1" customWidth="1"/>
    <col min="10" max="13" width="8.44140625" style="75" bestFit="1" customWidth="1"/>
    <col min="14" max="14" width="17.33203125" bestFit="1" customWidth="1"/>
    <col min="15" max="15" width="14.33203125" customWidth="1"/>
  </cols>
  <sheetData>
    <row r="1" spans="1:16" x14ac:dyDescent="0.3">
      <c r="A1" s="76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8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160</v>
      </c>
      <c r="P1" s="77" t="s">
        <v>158</v>
      </c>
    </row>
    <row r="2" spans="1:16" hidden="1" x14ac:dyDescent="0.3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>
        <f>IFERROR(_xlfn.LET(_xlpm.s,SUBSTITUTE(IF(EST_OLD!$P2=1,EST_OLD!G2,EST_OLD!H2)," ",""),IF(_xlpm.s="OFF","OFF",TEXT(MOD(TIMEVALUE(_xlfn.TEXTBEFORE(_xlpm.s,"-"))+0.5,1),"hh:mm")&amp;" - "&amp;TEXT(MOD(TIMEVALUE(_xlfn.TEXTAFTER(_xlpm.s,"-"))+0.5,1),"hh:mm"))),IF(EST_OLD!$P2=1,EST_OLD!G2,[1]EST_OLD!H2))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 hidden="1" x14ac:dyDescent="0.3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>
        <f>IFERROR(_xlfn.LET(_xlpm.s,SUBSTITUTE(IF(EST_OLD!$P3=1,EST_OLD!G3,EST_OLD!H3)," ",""),IF(_xlpm.s="OFF","OFF",TEXT(MOD(TIMEVALUE(_xlfn.TEXTBEFORE(_xlpm.s,"-"))+0.5,1),"hh:mm")&amp;" - "&amp;TEXT(MOD(TIMEVALUE(_xlfn.TEXTAFTER(_xlpm.s,"-"))+0.5,1),"hh:mm"))),IF(EST_OLD!$P3=1,EST_OLD!G3,[1]EST_OLD!H3))</f>
        <v>OFF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 hidden="1" x14ac:dyDescent="0.3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>
        <f>IFERROR(_xlfn.LET(_xlpm.s,SUBSTITUTE(IF(EST_OLD!$P4=1,EST_OLD!G4,EST_OLD!H4)," ",""),IF(_xlpm.s="OFF","OFF",TEXT(MOD(TIMEVALUE(_xlfn.TEXTBEFORE(_xlpm.s,"-"))+0.5,1),"hh:mm")&amp;" - "&amp;TEXT(MOD(TIMEVALUE(_xlfn.TEXTAFTER(_xlpm.s,"-"))+0.5,1),"hh:mm"))),IF(EST_OLD!$P4=1,EST_OLD!G4,[1]EST_OLD!H4))</f>
        <v>OFF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 hidden="1" x14ac:dyDescent="0.3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>
        <f>IFERROR(_xlfn.LET(_xlpm.s,SUBSTITUTE(IF(EST_OLD!$P5=1,EST_OLD!G5,EST_OLD!H5)," ",""),IF(_xlpm.s="OFF","OFF",TEXT(MOD(TIMEVALUE(_xlfn.TEXTBEFORE(_xlpm.s,"-"))+0.5,1),"hh:mm")&amp;" - "&amp;TEXT(MOD(TIMEVALUE(_xlfn.TEXTAFTER(_xlpm.s,"-"))+0.5,1),"hh:mm"))),IF(EST_OLD!$P5=1,EST_OLD!G5,[1]EST_OLD!H5))</f>
        <v>OFF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 x14ac:dyDescent="0.3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>
        <f>IFERROR(_xlfn.LET(_xlpm.s,SUBSTITUTE(IF(EST_OLD!$P6=1,EST_OLD!G6,EST_OLD!H6)," ",""),IF(_xlpm.s="OFF","OFF",TEXT(MOD(TIMEVALUE(_xlfn.TEXTBEFORE(_xlpm.s,"-"))+0.5,1),"hh:mm")&amp;" - "&amp;TEXT(MOD(TIMEVALUE(_xlfn.TEXTAFTER(_xlpm.s,"-"))+0.5,1),"hh:mm"))),IF(EST_OLD!$P6=1,EST_OLD!G6,[1]EST_OLD!H6))</f>
        <v>13:00 - 00:00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 hidden="1" x14ac:dyDescent="0.3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>
        <f>IFERROR(_xlfn.LET(_xlpm.s,SUBSTITUTE(IF(EST_OLD!$P7=1,EST_OLD!G7,EST_OLD!H7)," ",""),IF(_xlpm.s="OFF","OFF",TEXT(MOD(TIMEVALUE(_xlfn.TEXTBEFORE(_xlpm.s,"-"))+0.5,1),"hh:mm")&amp;" - "&amp;TEXT(MOD(TIMEVALUE(_xlfn.TEXTAFTER(_xlpm.s,"-"))+0.5,1),"hh:mm"))),IF(EST_OLD!$P7=1,EST_OLD!G7,[1]EST_OLD!H7))</f>
        <v>10:00 - 21:00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 hidden="1" x14ac:dyDescent="0.3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>
        <f>IFERROR(_xlfn.LET(_xlpm.s,SUBSTITUTE(IF(EST_OLD!$P8=1,EST_OLD!G8,EST_OLD!H8)," ",""),IF(_xlpm.s="OFF","OFF",TEXT(MOD(TIMEVALUE(_xlfn.TEXTBEFORE(_xlpm.s,"-"))+0.5,1),"hh:mm")&amp;" - "&amp;TEXT(MOD(TIMEVALUE(_xlfn.TEXTAFTER(_xlpm.s,"-"))+0.5,1),"hh:mm"))),IF(EST_OLD!$P8=1,EST_OLD!G8,[1]EST_OLD!H8))</f>
        <v>OFF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 hidden="1" x14ac:dyDescent="0.3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>
        <f>IFERROR(_xlfn.LET(_xlpm.s,SUBSTITUTE(IF(EST_OLD!$P9=1,EST_OLD!G9,EST_OLD!H9)," ",""),IF(_xlpm.s="OFF","OFF",TEXT(MOD(TIMEVALUE(_xlfn.TEXTBEFORE(_xlpm.s,"-"))+0.5,1),"hh:mm")&amp;" - "&amp;TEXT(MOD(TIMEVALUE(_xlfn.TEXTAFTER(_xlpm.s,"-"))+0.5,1),"hh:mm"))),IF(EST_OLD!$P9=1,EST_OLD!G9,[1]EST_OLD!H9))</f>
        <v>OFF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 x14ac:dyDescent="0.3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>
        <f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"&amp;TEXT(MOD(TIMEVALUE(_xlfn.TEXTAFTER(_xlpm.s,"-"))+0.5,1),"hh:mm"))),IF(EST_OLD!$P10=1,EST_OLD!G10,[1]EST_OLD!H10))</f>
        <v>21:00 - 08:00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 hidden="1" x14ac:dyDescent="0.3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>
        <f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"&amp;TEXT(MOD(TIMEVALUE(_xlfn.TEXTAFTER(_xlpm.s,"-"))+0.5,1),"hh:mm"))),IF(EST_OLD!$P11=1,EST_OLD!G11,[1]EST_OLD!H11))</f>
        <v>20:00 - 07:00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 hidden="1" x14ac:dyDescent="0.3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>
        <f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"&amp;TEXT(MOD(TIMEVALUE(_xlfn.TEXTAFTER(_xlpm.s,"-"))+0.5,1),"hh:mm"))),IF(EST_OLD!$P12=1,EST_OLD!G12,[1]EST_OLD!H12))</f>
        <v>OFF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 hidden="1" x14ac:dyDescent="0.3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>
        <f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"&amp;TEXT(MOD(TIMEVALUE(_xlfn.TEXTAFTER(_xlpm.s,"-"))+0.5,1),"hh:mm"))),IF(EST_OLD!$P13=1,EST_OLD!G13,[1]EST_OLD!H13))</f>
        <v>OFF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 hidden="1" x14ac:dyDescent="0.3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>
        <f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"&amp;TEXT(MOD(TIMEVALUE(_xlfn.TEXTAFTER(_xlpm.s,"-"))+0.5,1),"hh:mm"))),IF(EST_OLD!$P14=1,EST_OLD!G14,[1]EST_OLD!H14))</f>
        <v>OFF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 x14ac:dyDescent="0.3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>
        <f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"&amp;TEXT(MOD(TIMEVALUE(_xlfn.TEXTAFTER(_xlpm.s,"-"))+0.5,1),"hh:mm"))),IF(EST_OLD!$P15=1,EST_OLD!G15,[1]EST_OLD!H15))</f>
        <v>OFF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 hidden="1" x14ac:dyDescent="0.3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>
        <f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"&amp;TEXT(MOD(TIMEVALUE(_xlfn.TEXTAFTER(_xlpm.s,"-"))+0.5,1),"hh:mm"))),IF(EST_OLD!$P16=1,EST_OLD!G16,[1]EST_OLD!H16))</f>
        <v>OFF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 hidden="1" x14ac:dyDescent="0.3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>
        <f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"&amp;TEXT(MOD(TIMEVALUE(_xlfn.TEXTAFTER(_xlpm.s,"-"))+0.5,1),"hh:mm"))),IF(EST_OLD!$P17=1,EST_OLD!G17,[1]EST_OLD!H17))</f>
        <v>OFF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 hidden="1" x14ac:dyDescent="0.3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>
        <f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"&amp;TEXT(MOD(TIMEVALUE(_xlfn.TEXTAFTER(_xlpm.s,"-"))+0.5,1),"hh:mm"))),IF(EST_OLD!$P18=1,EST_OLD!G18,[1]EST_OLD!H18))</f>
        <v>20:00 - 07:00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 hidden="1" x14ac:dyDescent="0.3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>
        <f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"&amp;TEXT(MOD(TIMEVALUE(_xlfn.TEXTAFTER(_xlpm.s,"-"))+0.5,1),"hh:mm"))),IF(EST_OLD!$P19=1,EST_OLD!G19,[1]EST_OLD!H19))</f>
        <v>OFF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 hidden="1" x14ac:dyDescent="0.3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>
        <f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"&amp;TEXT(MOD(TIMEVALUE(_xlfn.TEXTAFTER(_xlpm.s,"-"))+0.5,1),"hh:mm"))),IF(EST_OLD!$P20=1,EST_OLD!G20,[1]EST_OLD!H20))</f>
        <v>OFF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 hidden="1" x14ac:dyDescent="0.3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>
        <f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"&amp;TEXT(MOD(TIMEVALUE(_xlfn.TEXTAFTER(_xlpm.s,"-"))+0.5,1),"hh:mm"))),IF(EST_OLD!$P21=1,EST_OLD!G21,[1]EST_OLD!H21))</f>
        <v>OFF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 hidden="1" x14ac:dyDescent="0.3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>
        <f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"&amp;TEXT(MOD(TIMEVALUE(_xlfn.TEXTAFTER(_xlpm.s,"-"))+0.5,1),"hh:mm"))),IF(EST_OLD!$P22=1,EST_OLD!G22,[1]EST_OLD!H22))</f>
        <v>22:30 - 09:30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 hidden="1" x14ac:dyDescent="0.3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>
        <f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"&amp;TEXT(MOD(TIMEVALUE(_xlfn.TEXTAFTER(_xlpm.s,"-"))+0.5,1),"hh:mm"))),IF(EST_OLD!$P23=1,EST_OLD!G23,[1]EST_OLD!H23))</f>
        <v>OFF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161</v>
      </c>
      <c r="P23">
        <f t="shared" si="1"/>
        <v>0</v>
      </c>
    </row>
    <row r="24" spans="1:16" x14ac:dyDescent="0.3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>
        <f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"&amp;TEXT(MOD(TIMEVALUE(_xlfn.TEXTAFTER(_xlpm.s,"-"))+0.5,1),"hh:mm"))),IF(EST_OLD!$P24=1,EST_OLD!G24,[1]EST_OLD!H24))</f>
        <v>01:00 - 12:00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 x14ac:dyDescent="0.3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>
        <f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"&amp;TEXT(MOD(TIMEVALUE(_xlfn.TEXTAFTER(_xlpm.s,"-"))+0.5,1),"hh:mm"))),IF(EST_OLD!$P25=1,EST_OLD!G25,[1]EST_OLD!H25))</f>
        <v>OFF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 hidden="1" x14ac:dyDescent="0.3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>
        <f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"&amp;TEXT(MOD(TIMEVALUE(_xlfn.TEXTAFTER(_xlpm.s,"-"))+0.5,1),"hh:mm"))),IF(EST_OLD!$P26=1,EST_OLD!G26,[1]EST_OLD!H26))</f>
        <v>OFF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 x14ac:dyDescent="0.3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>
        <f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"&amp;TEXT(MOD(TIMEVALUE(_xlfn.TEXTAFTER(_xlpm.s,"-"))+0.5,1),"hh:mm"))),IF(EST_OLD!$P27=1,EST_OLD!G27,[1]EST_OLD!H27))</f>
        <v>17:00 - 04:00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 hidden="1" x14ac:dyDescent="0.3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>
        <f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"&amp;TEXT(MOD(TIMEVALUE(_xlfn.TEXTAFTER(_xlpm.s,"-"))+0.5,1),"hh:mm"))),IF(EST_OLD!$P28=1,EST_OLD!G28,[1]EST_OLD!H28))</f>
        <v>OFF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 hidden="1" x14ac:dyDescent="0.3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>
        <f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"&amp;TEXT(MOD(TIMEVALUE(_xlfn.TEXTAFTER(_xlpm.s,"-"))+0.5,1),"hh:mm"))),IF(EST_OLD!$P29=1,EST_OLD!G29,[1]EST_OLD!H29))</f>
        <v>OFF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 hidden="1" x14ac:dyDescent="0.3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>
        <f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"&amp;TEXT(MOD(TIMEVALUE(_xlfn.TEXTAFTER(_xlpm.s,"-"))+0.5,1),"hh:mm"))),IF(EST_OLD!$P30=1,EST_OLD!G30,[1]EST_OLD!H30))</f>
        <v>OFF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 x14ac:dyDescent="0.3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>
        <f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"&amp;TEXT(MOD(TIMEVALUE(_xlfn.TEXTAFTER(_xlpm.s,"-"))+0.5,1),"hh:mm"))),IF(EST_OLD!$P31=1,EST_OLD!G31,[1]EST_OLD!H31))</f>
        <v>14:00 - 01:00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 hidden="1" x14ac:dyDescent="0.3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>
        <f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"&amp;TEXT(MOD(TIMEVALUE(_xlfn.TEXTAFTER(_xlpm.s,"-"))+0.5,1),"hh:mm"))),IF(EST_OLD!$P32=1,EST_OLD!G32,[1]EST_OLD!H32))</f>
        <v>OFF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 x14ac:dyDescent="0.3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>
        <f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"&amp;TEXT(MOD(TIMEVALUE(_xlfn.TEXTAFTER(_xlpm.s,"-"))+0.5,1),"hh:mm"))),IF(EST_OLD!$P33=1,EST_OLD!G33,[1]EST_OLD!H33))</f>
        <v>OFF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 hidden="1" x14ac:dyDescent="0.3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>
        <f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"&amp;TEXT(MOD(TIMEVALUE(_xlfn.TEXTAFTER(_xlpm.s,"-"))+0.5,1),"hh:mm"))),IF(EST_OLD!$P34=1,EST_OLD!G34,[1]EST_OLD!H34))</f>
        <v>OFF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 hidden="1" x14ac:dyDescent="0.3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>
        <f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"&amp;TEXT(MOD(TIMEVALUE(_xlfn.TEXTAFTER(_xlpm.s,"-"))+0.5,1),"hh:mm"))),IF(EST_OLD!$P35=1,EST_OLD!G35,[1]EST_OLD!H35))</f>
        <v>00:00 - 11:00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 hidden="1" x14ac:dyDescent="0.3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>
        <f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"&amp;TEXT(MOD(TIMEVALUE(_xlfn.TEXTAFTER(_xlpm.s,"-"))+0.5,1),"hh:mm"))),IF(EST_OLD!$P36=1,EST_OLD!G36,[1]EST_OLD!H36))</f>
        <v>OFF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 hidden="1" x14ac:dyDescent="0.3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>
        <f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"&amp;TEXT(MOD(TIMEVALUE(_xlfn.TEXTAFTER(_xlpm.s,"-"))+0.5,1),"hh:mm"))),IF(EST_OLD!$P37=1,EST_OLD!G37,[1]EST_OLD!H37))</f>
        <v>09:00 - 20:00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 hidden="1" x14ac:dyDescent="0.3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>
        <f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"&amp;TEXT(MOD(TIMEVALUE(_xlfn.TEXTAFTER(_xlpm.s,"-"))+0.5,1),"hh:mm"))),IF(EST_OLD!$P38=1,EST_OLD!G38,[1]EST_OLD!H38))</f>
        <v>OFF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 hidden="1" x14ac:dyDescent="0.3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>
        <f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"&amp;TEXT(MOD(TIMEVALUE(_xlfn.TEXTAFTER(_xlpm.s,"-"))+0.5,1),"hh:mm"))),IF(EST_OLD!$P39=1,EST_OLD!G39,[1]EST_OLD!H39))</f>
        <v>OFF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 hidden="1" x14ac:dyDescent="0.3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>
        <f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"&amp;TEXT(MOD(TIMEVALUE(_xlfn.TEXTAFTER(_xlpm.s,"-"))+0.5,1),"hh:mm"))),IF(EST_OLD!$P40=1,EST_OLD!G40,[1]EST_OLD!H40))</f>
        <v>15:00 - 02:00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 hidden="1" x14ac:dyDescent="0.3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>
        <f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"&amp;TEXT(MOD(TIMEVALUE(_xlfn.TEXTAFTER(_xlpm.s,"-"))+0.5,1),"hh:mm"))),IF(EST_OLD!$P41=1,EST_OLD!G41,[1]EST_OLD!H41))</f>
        <v>OFF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 x14ac:dyDescent="0.3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>
        <f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"&amp;TEXT(MOD(TIMEVALUE(_xlfn.TEXTAFTER(_xlpm.s,"-"))+0.5,1),"hh:mm"))),IF(EST_OLD!$P42=1,EST_OLD!G42,[1]EST_OLD!H42))</f>
        <v>OFF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 hidden="1" x14ac:dyDescent="0.3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>
        <f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"&amp;TEXT(MOD(TIMEVALUE(_xlfn.TEXTAFTER(_xlpm.s,"-"))+0.5,1),"hh:mm"))),IF(EST_OLD!$P43=1,EST_OLD!G43,[1]EST_OLD!H43))</f>
        <v>OFF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 hidden="1" x14ac:dyDescent="0.3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>
        <f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"&amp;TEXT(MOD(TIMEVALUE(_xlfn.TEXTAFTER(_xlpm.s,"-"))+0.5,1),"hh:mm"))),IF(EST_OLD!$P44=1,EST_OLD!G44,[1]EST_OLD!H44))</f>
        <v>OFF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 x14ac:dyDescent="0.3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>
        <f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"&amp;TEXT(MOD(TIMEVALUE(_xlfn.TEXTAFTER(_xlpm.s,"-"))+0.5,1),"hh:mm"))),IF(EST_OLD!$P45=1,EST_OLD!G45,[1]EST_OLD!H45))</f>
        <v>10:30 - 21:30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 hidden="1" x14ac:dyDescent="0.3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>
        <f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"&amp;TEXT(MOD(TIMEVALUE(_xlfn.TEXTAFTER(_xlpm.s,"-"))+0.5,1),"hh:mm"))),IF(EST_OLD!$P46=1,EST_OLD!G46,[1]EST_OLD!H46))</f>
        <v>OFF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 hidden="1" x14ac:dyDescent="0.3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>
        <f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"&amp;TEXT(MOD(TIMEVALUE(_xlfn.TEXTAFTER(_xlpm.s,"-"))+0.5,1),"hh:mm"))),IF(EST_OLD!$P47=1,EST_OLD!G47,[1]EST_OLD!H47))</f>
        <v>OFF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 hidden="1" x14ac:dyDescent="0.3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>
        <f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"&amp;TEXT(MOD(TIMEVALUE(_xlfn.TEXTAFTER(_xlpm.s,"-"))+0.5,1),"hh:mm"))),IF(EST_OLD!$P48=1,EST_OLD!G48,[1]EST_OLD!H48))</f>
        <v>OFF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 hidden="1" x14ac:dyDescent="0.3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>
        <f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"&amp;TEXT(MOD(TIMEVALUE(_xlfn.TEXTAFTER(_xlpm.s,"-"))+0.5,1),"hh:mm"))),IF(EST_OLD!$P49=1,EST_OLD!G49,[1]EST_OLD!H49))</f>
        <v>OFF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 hidden="1" x14ac:dyDescent="0.3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>
        <f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"&amp;TEXT(MOD(TIMEVALUE(_xlfn.TEXTAFTER(_xlpm.s,"-"))+0.5,1),"hh:mm"))),IF(EST_OLD!$P50=1,EST_OLD!G50,[1]EST_OLD!H50))</f>
        <v>OFF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 x14ac:dyDescent="0.3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>
        <f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"&amp;TEXT(MOD(TIMEVALUE(_xlfn.TEXTAFTER(_xlpm.s,"-"))+0.5,1),"hh:mm"))),IF(EST_OLD!$P51=1,EST_OLD!G51,[1]EST_OLD!H51))</f>
        <v>06:30 - 17:30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 hidden="1" x14ac:dyDescent="0.3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>
        <f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"&amp;TEXT(MOD(TIMEVALUE(_xlfn.TEXTAFTER(_xlpm.s,"-"))+0.5,1),"hh:mm"))),IF(EST_OLD!$P52=1,EST_OLD!G52,[1]EST_OLD!H52))</f>
        <v>OFF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 hidden="1" x14ac:dyDescent="0.3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>
        <f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"&amp;TEXT(MOD(TIMEVALUE(_xlfn.TEXTAFTER(_xlpm.s,"-"))+0.5,1),"hh:mm"))),IF(EST_OLD!$P53=1,EST_OLD!G53,[1]EST_OLD!H53))</f>
        <v>OFF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 hidden="1" x14ac:dyDescent="0.3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>
        <f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"&amp;TEXT(MOD(TIMEVALUE(_xlfn.TEXTAFTER(_xlpm.s,"-"))+0.5,1),"hh:mm"))),IF(EST_OLD!$P54=1,EST_OLD!G54,[1]EST_OLD!H54))</f>
        <v>17:00 - 04:00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 x14ac:dyDescent="0.3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>
        <f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"&amp;TEXT(MOD(TIMEVALUE(_xlfn.TEXTAFTER(_xlpm.s,"-"))+0.5,1),"hh:mm"))),IF(EST_OLD!$P55=1,EST_OLD!G55,[1]EST_OLD!H55))</f>
        <v>09:00 - 20:00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 hidden="1" x14ac:dyDescent="0.3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>
        <f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"&amp;TEXT(MOD(TIMEVALUE(_xlfn.TEXTAFTER(_xlpm.s,"-"))+0.5,1),"hh:mm"))),IF(EST_OLD!$P56=1,EST_OLD!G56,[1]EST_OLD!H56))</f>
        <v>OFF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 x14ac:dyDescent="0.3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>
        <f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"&amp;TEXT(MOD(TIMEVALUE(_xlfn.TEXTAFTER(_xlpm.s,"-"))+0.5,1),"hh:mm"))),IF(EST_OLD!$P57=1,EST_OLD!G57,[1]EST_OLD!H57))</f>
        <v>22:00 - 09:00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 x14ac:dyDescent="0.3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>
        <f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"&amp;TEXT(MOD(TIMEVALUE(_xlfn.TEXTAFTER(_xlpm.s,"-"))+0.5,1),"hh:mm"))),IF(EST_OLD!$P58=1,EST_OLD!G58,[1]EST_OLD!H58))</f>
        <v>OFF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 x14ac:dyDescent="0.3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>
        <f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"&amp;TEXT(MOD(TIMEVALUE(_xlfn.TEXTAFTER(_xlpm.s,"-"))+0.5,1),"hh:mm"))),IF(EST_OLD!$P59=1,EST_OLD!G59,[1]EST_OLD!H59))</f>
        <v>21:00 - 08:00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 hidden="1" x14ac:dyDescent="0.3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>
        <f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"&amp;TEXT(MOD(TIMEVALUE(_xlfn.TEXTAFTER(_xlpm.s,"-"))+0.5,1),"hh:mm"))),IF(EST_OLD!$P60=1,EST_OLD!G60,[1]EST_OLD!H60))</f>
        <v>21:00 - 08:00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 hidden="1" x14ac:dyDescent="0.3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>
        <f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"&amp;TEXT(MOD(TIMEVALUE(_xlfn.TEXTAFTER(_xlpm.s,"-"))+0.5,1),"hh:mm"))),IF(EST_OLD!$P61=1,EST_OLD!G61,[1]EST_OLD!H61))</f>
        <v>12:00 - 23:00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 hidden="1" x14ac:dyDescent="0.3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>
        <f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"&amp;TEXT(MOD(TIMEVALUE(_xlfn.TEXTAFTER(_xlpm.s,"-"))+0.5,1),"hh:mm"))),IF(EST_OLD!$P62=1,EST_OLD!G62,[1]EST_OLD!H62))</f>
        <v>11:00 - 22:00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 hidden="1" x14ac:dyDescent="0.3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>
        <f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"&amp;TEXT(MOD(TIMEVALUE(_xlfn.TEXTAFTER(_xlpm.s,"-"))+0.5,1),"hh:mm"))),IF(EST_OLD!$P63=1,EST_OLD!G63,[1]EST_OLD!H63))</f>
        <v>OFF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 hidden="1" x14ac:dyDescent="0.3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>
        <f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"&amp;TEXT(MOD(TIMEVALUE(_xlfn.TEXTAFTER(_xlpm.s,"-"))+0.5,1),"hh:mm"))),IF(EST_OLD!$P64=1,EST_OLD!G64,[1]EST_OLD!H64))</f>
        <v>19:00 - 06:00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 hidden="1" x14ac:dyDescent="0.3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>
        <f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"&amp;TEXT(MOD(TIMEVALUE(_xlfn.TEXTAFTER(_xlpm.s,"-"))+0.5,1),"hh:mm"))),IF(EST_OLD!$P65=1,EST_OLD!G65,[1]EST_OLD!H65))</f>
        <v>OFF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 hidden="1" x14ac:dyDescent="0.3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>
        <f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"&amp;TEXT(MOD(TIMEVALUE(_xlfn.TEXTAFTER(_xlpm.s,"-"))+0.5,1),"hh:mm"))),IF(EST_OLD!$P66=1,EST_OLD!G66,[1]EST_OLD!H66))</f>
        <v>OFF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 x14ac:dyDescent="0.3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>
        <f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"&amp;TEXT(MOD(TIMEVALUE(_xlfn.TEXTAFTER(_xlpm.s,"-"))+0.5,1),"hh:mm"))),IF(EST_OLD!$P67=1,EST_OLD!G67,[1]EST_OLD!H67))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 hidden="1" x14ac:dyDescent="0.3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>
        <f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"&amp;TEXT(MOD(TIMEVALUE(_xlfn.TEXTAFTER(_xlpm.s,"-"))+0.5,1),"hh:mm"))),IF(EST_OLD!$P68=1,EST_OLD!G68,[1]EST_OLD!H68))</f>
        <v>OFF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>
    <filterColumn colId="13">
      <filters>
        <filter val="Christopher Rodas"/>
      </filters>
    </filterColumn>
  </autoFilter>
  <phoneticPr fontId="8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25" workbookViewId="0">
      <selection activeCell="A15" sqref="A15:A18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554687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139</v>
      </c>
      <c r="C1" s="24" t="s">
        <v>140</v>
      </c>
      <c r="D1" s="24" t="s">
        <v>13</v>
      </c>
    </row>
    <row r="2" spans="1:4" x14ac:dyDescent="0.3">
      <c r="A2" s="16" t="s">
        <v>71</v>
      </c>
      <c r="B2" s="29">
        <v>46315</v>
      </c>
      <c r="C2" t="s">
        <v>141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141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141</v>
      </c>
      <c r="D4" t="str">
        <f>_xlfn.IFNA(VLOOKUP(A4,EST!A:N,14,FALSE),"")</f>
        <v>Remmo Panaligan</v>
      </c>
    </row>
    <row r="5" spans="1:4" x14ac:dyDescent="0.3">
      <c r="A5" t="s">
        <v>59</v>
      </c>
      <c r="B5" s="29">
        <v>46316</v>
      </c>
      <c r="C5" t="s">
        <v>141</v>
      </c>
      <c r="D5" t="str">
        <f>_xlfn.IFNA(VLOOKUP(A5,EST!A:N,14,FALSE),"")</f>
        <v>Michael Dominguez</v>
      </c>
    </row>
    <row r="6" spans="1:4" x14ac:dyDescent="0.3">
      <c r="A6" t="s">
        <v>89</v>
      </c>
      <c r="B6" s="29">
        <v>46317</v>
      </c>
      <c r="C6" t="s">
        <v>141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141</v>
      </c>
      <c r="D7" t="str">
        <f>_xlfn.IFNA(VLOOKUP(A7,EST!A:N,14,FALSE),"")</f>
        <v>Anmecha Valencia</v>
      </c>
    </row>
    <row r="8" spans="1:4" x14ac:dyDescent="0.3">
      <c r="A8" t="s">
        <v>59</v>
      </c>
      <c r="B8" s="29">
        <v>46317</v>
      </c>
      <c r="C8" t="s">
        <v>141</v>
      </c>
      <c r="D8" t="str">
        <f>_xlfn.IFNA(VLOOKUP(A8,EST!A:N,14,FALSE),"")</f>
        <v>Michael Dominguez</v>
      </c>
    </row>
    <row r="9" spans="1:4" x14ac:dyDescent="0.3">
      <c r="A9" t="s">
        <v>58</v>
      </c>
      <c r="B9" s="29">
        <v>46318</v>
      </c>
      <c r="C9" t="s">
        <v>141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141</v>
      </c>
      <c r="D10" t="str">
        <f>_xlfn.IFNA(VLOOKUP(A10,EST!A:N,14,FALSE),"")</f>
        <v>Michael Dominguez</v>
      </c>
    </row>
    <row r="11" spans="1:4" x14ac:dyDescent="0.3">
      <c r="A11" t="s">
        <v>118</v>
      </c>
      <c r="B11" s="29">
        <v>46318</v>
      </c>
      <c r="C11" t="s">
        <v>141</v>
      </c>
      <c r="D11" t="str">
        <f>_xlfn.IFNA(VLOOKUP(A11,EST!A:N,14,FALSE),"")</f>
        <v>Anmecha Valencia</v>
      </c>
    </row>
    <row r="12" spans="1:4" x14ac:dyDescent="0.3">
      <c r="A12" t="s">
        <v>50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s="10" t="s">
        <v>107</v>
      </c>
      <c r="B13" s="29">
        <v>46320</v>
      </c>
      <c r="C13" t="s">
        <v>141</v>
      </c>
      <c r="D13" t="str">
        <f>_xlfn.IFNA(VLOOKUP(A13,EST!A:N,14,FALSE),"")</f>
        <v>Remmo Panaligan</v>
      </c>
    </row>
    <row r="14" spans="1:4" x14ac:dyDescent="0.3">
      <c r="A14" t="s">
        <v>50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122</v>
      </c>
      <c r="B15" s="29">
        <v>46321</v>
      </c>
      <c r="C15" t="s">
        <v>141</v>
      </c>
      <c r="D15" t="str">
        <f>_xlfn.IFNA(VLOOKUP(A15,EST!A:N,14,FALSE),"")</f>
        <v>Michael Dominguez</v>
      </c>
    </row>
    <row r="16" spans="1:4" x14ac:dyDescent="0.3">
      <c r="A16" t="s">
        <v>85</v>
      </c>
      <c r="B16" s="29">
        <v>46321</v>
      </c>
      <c r="C16" t="s">
        <v>141</v>
      </c>
      <c r="D16" t="str">
        <f>_xlfn.IFNA(VLOOKUP(A16,EST!A:N,14,FALSE),"")</f>
        <v>Remmo Panaligan</v>
      </c>
    </row>
    <row r="17" spans="1:4" x14ac:dyDescent="0.3">
      <c r="A17" t="s">
        <v>70</v>
      </c>
      <c r="B17" s="29">
        <v>46321</v>
      </c>
      <c r="C17" t="s">
        <v>141</v>
      </c>
      <c r="D17" t="str">
        <f>_xlfn.IFNA(VLOOKUP(A17,EST!A:N,14,FALSE),"")</f>
        <v>Remmo Panaligan</v>
      </c>
    </row>
    <row r="18" spans="1:4" x14ac:dyDescent="0.3">
      <c r="A18" t="s">
        <v>58</v>
      </c>
      <c r="B18" s="29">
        <v>46321</v>
      </c>
      <c r="C18" t="s">
        <v>141</v>
      </c>
      <c r="D18" t="str">
        <f>_xlfn.IFNA(VLOOKUP(A18,EST!A:N,14,FALSE),"")</f>
        <v>Anmecha Valencia</v>
      </c>
    </row>
    <row r="19" spans="1:4" x14ac:dyDescent="0.3">
      <c r="A19" t="s">
        <v>122</v>
      </c>
      <c r="B19" s="29">
        <v>46322</v>
      </c>
      <c r="C19" t="s">
        <v>141</v>
      </c>
      <c r="D19" t="str">
        <f>_xlfn.IFNA(VLOOKUP(A19,EST!A:N,14,FALSE),"")</f>
        <v>Michael Dominguez</v>
      </c>
    </row>
    <row r="20" spans="1:4" x14ac:dyDescent="0.3">
      <c r="A20" t="s">
        <v>85</v>
      </c>
      <c r="B20" s="29">
        <v>46322</v>
      </c>
      <c r="C20" t="s">
        <v>141</v>
      </c>
      <c r="D20" t="str">
        <f>_xlfn.IFNA(VLOOKUP(A20,EST!A:N,14,FALSE),"")</f>
        <v>Remmo Panaligan</v>
      </c>
    </row>
    <row r="21" spans="1:4" x14ac:dyDescent="0.3">
      <c r="A21" t="s">
        <v>70</v>
      </c>
      <c r="B21" s="29">
        <v>46322</v>
      </c>
      <c r="C21" t="s">
        <v>141</v>
      </c>
      <c r="D21" t="str">
        <f>_xlfn.IFNA(VLOOKUP(A21,EST!A:N,14,FALSE),"")</f>
        <v>Remmo Panaligan</v>
      </c>
    </row>
    <row r="22" spans="1:4" x14ac:dyDescent="0.3">
      <c r="A22" t="s">
        <v>58</v>
      </c>
      <c r="B22" s="29">
        <v>46322</v>
      </c>
      <c r="C22" t="s">
        <v>141</v>
      </c>
      <c r="D22" t="str">
        <f>_xlfn.IFNA(VLOOKUP(A22,EST!A:N,14,FALSE),"")</f>
        <v>Anmecha Valencia</v>
      </c>
    </row>
    <row r="23" spans="1:4" x14ac:dyDescent="0.3">
      <c r="A23" t="s">
        <v>65</v>
      </c>
      <c r="B23" s="29">
        <v>46322</v>
      </c>
      <c r="C23" t="s">
        <v>141</v>
      </c>
      <c r="D23" t="str">
        <f>_xlfn.IFNA(VLOOKUP(A23,EST!A:N,14,FALSE),"")</f>
        <v>Christopher Rodas</v>
      </c>
    </row>
    <row r="24" spans="1:4" x14ac:dyDescent="0.3">
      <c r="A24" t="s">
        <v>65</v>
      </c>
      <c r="B24" s="29">
        <v>46323</v>
      </c>
      <c r="C24" t="s">
        <v>141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141</v>
      </c>
      <c r="D25" t="str">
        <f>_xlfn.IFNA(VLOOKUP(A25,EST!A:N,14,FALSE),"")</f>
        <v>Manilyn Abellar</v>
      </c>
    </row>
    <row r="26" spans="1:4" x14ac:dyDescent="0.3">
      <c r="A26" s="40" t="s">
        <v>82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99</v>
      </c>
      <c r="B27" s="29">
        <v>46324</v>
      </c>
      <c r="C27" t="s">
        <v>141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141</v>
      </c>
      <c r="D28" t="str">
        <f>_xlfn.IFNA(VLOOKUP(A28,EST!A:N,14,FALSE),"")</f>
        <v>Christopher Rodas</v>
      </c>
    </row>
    <row r="29" spans="1:4" x14ac:dyDescent="0.3">
      <c r="A29" t="s">
        <v>58</v>
      </c>
      <c r="B29" s="29">
        <v>46324</v>
      </c>
      <c r="C29" t="s">
        <v>141</v>
      </c>
      <c r="D29" t="str">
        <f>_xlfn.IFNA(VLOOKUP(A29,EST!A:N,14,FALSE),"")</f>
        <v>Anmecha Valencia</v>
      </c>
    </row>
    <row r="30" spans="1:4" x14ac:dyDescent="0.3">
      <c r="A30" t="s">
        <v>89</v>
      </c>
      <c r="B30" s="29">
        <v>46324</v>
      </c>
      <c r="C30" t="s">
        <v>141</v>
      </c>
      <c r="D30" t="str">
        <f>_xlfn.IFNA(VLOOKUP(A30,EST!A:N,14,FALSE),"")</f>
        <v>Manilyn Abellar</v>
      </c>
    </row>
    <row r="31" spans="1:4" x14ac:dyDescent="0.3">
      <c r="A31" s="39" t="s">
        <v>82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1" t="s">
        <v>50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1" t="s">
        <v>73</v>
      </c>
      <c r="B33" s="29">
        <v>46325</v>
      </c>
      <c r="C33" t="s">
        <v>141</v>
      </c>
      <c r="D33" t="str">
        <f>_xlfn.IFNA(VLOOKUP(A33,EST!A:N,14,FALSE),"")</f>
        <v>Manilyn Abellar</v>
      </c>
    </row>
    <row r="34" spans="1:4" x14ac:dyDescent="0.3">
      <c r="A34" s="39" t="s">
        <v>82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1" t="s">
        <v>50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60</v>
      </c>
      <c r="B36" s="29">
        <v>46326</v>
      </c>
      <c r="C36" t="s">
        <v>141</v>
      </c>
      <c r="D36" t="str">
        <f>_xlfn.IFNA(VLOOKUP(A36,EST!A:N,14,FALSE),"")</f>
        <v>Christopher Rodas</v>
      </c>
    </row>
    <row r="37" spans="1:4" x14ac:dyDescent="0.3">
      <c r="A37" s="39" t="s">
        <v>82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50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50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abSelected="1" workbookViewId="0">
      <selection activeCell="C12" sqref="C12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139</v>
      </c>
      <c r="C1" s="25" t="s">
        <v>140</v>
      </c>
      <c r="D1" s="25" t="s">
        <v>13</v>
      </c>
    </row>
    <row r="2" spans="1:4" x14ac:dyDescent="0.3">
      <c r="A2" s="26" t="s">
        <v>55</v>
      </c>
      <c r="B2" s="29">
        <v>46315</v>
      </c>
      <c r="C2" s="27" t="s">
        <v>143</v>
      </c>
      <c r="D2" t="str">
        <f>VLOOKUP(A2,EST!A:N,14,FALSE)</f>
        <v>Anmecha Valencia</v>
      </c>
    </row>
    <row r="3" spans="1:4" x14ac:dyDescent="0.3">
      <c r="A3" s="27" t="s">
        <v>67</v>
      </c>
      <c r="B3" s="29">
        <v>46316</v>
      </c>
      <c r="C3" s="27" t="s">
        <v>144</v>
      </c>
      <c r="D3" t="str">
        <f>VLOOKUP(A3,EST!A:N,14,FALSE)</f>
        <v>Michael Dominguez</v>
      </c>
    </row>
    <row r="4" spans="1:4" x14ac:dyDescent="0.3">
      <c r="A4" s="11" t="s">
        <v>55</v>
      </c>
      <c r="B4" s="29">
        <v>46316</v>
      </c>
      <c r="C4" s="27" t="s">
        <v>145</v>
      </c>
      <c r="D4" t="str">
        <f>VLOOKUP(A4,EST!A:N,14,FALSE)</f>
        <v>Anmecha Valencia</v>
      </c>
    </row>
    <row r="5" spans="1:4" x14ac:dyDescent="0.3">
      <c r="A5" s="27" t="s">
        <v>93</v>
      </c>
      <c r="B5" s="29">
        <v>46316</v>
      </c>
      <c r="C5" s="27" t="s">
        <v>146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143</v>
      </c>
      <c r="D6" t="str">
        <f>VLOOKUP(A6,EST!A:N,14,FALSE)</f>
        <v>Manilyn Abellar</v>
      </c>
    </row>
    <row r="7" spans="1:4" x14ac:dyDescent="0.3">
      <c r="A7" s="11" t="s">
        <v>126</v>
      </c>
      <c r="B7" s="29">
        <v>46318</v>
      </c>
      <c r="C7" s="27" t="s">
        <v>143</v>
      </c>
      <c r="D7" t="str">
        <f>VLOOKUP(A7,EST!A:N,14,FALSE)</f>
        <v>Anmecha Valencia</v>
      </c>
    </row>
    <row r="8" spans="1:4" x14ac:dyDescent="0.3">
      <c r="A8" s="27" t="s">
        <v>112</v>
      </c>
      <c r="B8" s="29">
        <v>46319</v>
      </c>
      <c r="C8" s="27" t="s">
        <v>143</v>
      </c>
      <c r="D8" t="str">
        <f>_xlfn.IFNA(VLOOKUP(A8,EST!A:N,14,FALSE),"")</f>
        <v>Christopher Rodas</v>
      </c>
    </row>
    <row r="9" spans="1:4" x14ac:dyDescent="0.3">
      <c r="A9" s="27" t="s">
        <v>118</v>
      </c>
      <c r="B9" s="29">
        <v>46319</v>
      </c>
      <c r="C9" s="27" t="s">
        <v>143</v>
      </c>
      <c r="D9" t="str">
        <f>_xlfn.IFNA(VLOOKUP(A9,EST!A:N,14,FALSE),"")</f>
        <v>Anmecha Valencia</v>
      </c>
    </row>
    <row r="10" spans="1:4" x14ac:dyDescent="0.3">
      <c r="A10" s="27" t="s">
        <v>112</v>
      </c>
      <c r="B10" s="29">
        <v>46320</v>
      </c>
      <c r="C10" s="27" t="s">
        <v>143</v>
      </c>
      <c r="D10" t="str">
        <f>_xlfn.IFNA(VLOOKUP(A10,EST!A:N,14,FALSE),"")</f>
        <v>Christopher Rodas</v>
      </c>
    </row>
    <row r="11" spans="1:4" x14ac:dyDescent="0.3">
      <c r="A11" s="11" t="s">
        <v>124</v>
      </c>
      <c r="B11" s="29">
        <v>46320</v>
      </c>
      <c r="C11" s="27" t="s">
        <v>143</v>
      </c>
      <c r="D11" t="str">
        <f>_xlfn.IFNA(VLOOKUP(A11,EST!A:N,14,FALSE),"")</f>
        <v>Michael Dominguez</v>
      </c>
    </row>
    <row r="12" spans="1:4" x14ac:dyDescent="0.3">
      <c r="A12" s="16" t="s">
        <v>114</v>
      </c>
      <c r="B12" s="29">
        <v>46320</v>
      </c>
      <c r="C12" s="27" t="s">
        <v>143</v>
      </c>
      <c r="D12" t="str">
        <f>_xlfn.IFNA(VLOOKUP(A12,EST!A:N,14,FALSE),"")</f>
        <v>Christopher Rodas</v>
      </c>
    </row>
    <row r="13" spans="1:4" x14ac:dyDescent="0.3">
      <c r="A13" s="27" t="s">
        <v>118</v>
      </c>
      <c r="B13" s="29">
        <v>46320</v>
      </c>
      <c r="C13" s="27" t="s">
        <v>143</v>
      </c>
      <c r="D13" t="str">
        <f>_xlfn.IFNA(VLOOKUP(A13,EST!A:N,14,FALSE),"")</f>
        <v>Anmecha Valencia</v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4" priority="6" operator="equal">
      <formula>"OFF"</formula>
    </cfRule>
  </conditionalFormatting>
  <conditionalFormatting sqref="A4">
    <cfRule type="cellIs" dxfId="3" priority="5" operator="equal">
      <formula>"OFF"</formula>
    </cfRule>
  </conditionalFormatting>
  <conditionalFormatting sqref="A6:A7">
    <cfRule type="cellIs" dxfId="2" priority="3" operator="equal">
      <formula>"OFF"</formula>
    </cfRule>
  </conditionalFormatting>
  <conditionalFormatting sqref="A11">
    <cfRule type="cellIs" dxfId="1" priority="2" operator="equal">
      <formula>"OFF"</formula>
    </cfRule>
  </conditionalFormatting>
  <conditionalFormatting sqref="A12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EST</vt:lpstr>
      <vt:lpstr>Sheet1</vt:lpstr>
      <vt:lpstr>PH</vt:lpstr>
      <vt:lpstr>EST_OLD</vt:lpstr>
      <vt:lpstr>PH_OLD</vt:lpstr>
      <vt:lpstr>PTO</vt:lpstr>
      <vt:lpstr>Called 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2026-10-26T03:05:01Z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