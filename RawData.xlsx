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36" documentId="8_{3D986408-3F70-4028-ABB2-0B6A1225D05C}" xr6:coauthVersionLast="47" xr6:coauthVersionMax="47" xr10:uidLastSave="{8B8AFE6B-E19C-432F-A122-3FF7AE272CEC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I5" i="4" s="1"/>
  <c r="E5" i="4"/>
  <c r="F5" i="4"/>
  <c r="G5" i="4"/>
  <c r="H5" i="4"/>
  <c r="B6" i="4"/>
  <c r="C6" i="4"/>
  <c r="D6" i="4"/>
  <c r="E6" i="4"/>
  <c r="F6" i="4"/>
  <c r="G6" i="4"/>
  <c r="H6" i="4"/>
  <c r="B7" i="4"/>
  <c r="C7" i="4"/>
  <c r="D7" i="4"/>
  <c r="E7" i="4"/>
  <c r="F7" i="4"/>
  <c r="G7" i="4"/>
  <c r="H7" i="4"/>
  <c r="B8" i="4"/>
  <c r="C8" i="4"/>
  <c r="D8" i="4"/>
  <c r="E8" i="4"/>
  <c r="F8" i="4"/>
  <c r="G8" i="4"/>
  <c r="H8" i="4"/>
  <c r="B9" i="4"/>
  <c r="C9" i="4"/>
  <c r="D9" i="4"/>
  <c r="E9" i="4"/>
  <c r="F9" i="4"/>
  <c r="G9" i="4"/>
  <c r="H9" i="4"/>
  <c r="B10" i="4"/>
  <c r="C10" i="4"/>
  <c r="D10" i="4"/>
  <c r="E10" i="4"/>
  <c r="F10" i="4"/>
  <c r="G10" i="4"/>
  <c r="H10" i="4"/>
  <c r="B11" i="4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B13" i="4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B15" i="4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B17" i="4"/>
  <c r="C17" i="4"/>
  <c r="D17" i="4"/>
  <c r="E17" i="4"/>
  <c r="F17" i="4"/>
  <c r="G17" i="4"/>
  <c r="H17" i="4"/>
  <c r="B18" i="4"/>
  <c r="C18" i="4"/>
  <c r="D18" i="4"/>
  <c r="E18" i="4"/>
  <c r="F18" i="4"/>
  <c r="G18" i="4"/>
  <c r="H18" i="4"/>
  <c r="B19" i="4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B21" i="4"/>
  <c r="C21" i="4"/>
  <c r="D21" i="4"/>
  <c r="E21" i="4"/>
  <c r="F21" i="4"/>
  <c r="G21" i="4"/>
  <c r="H21" i="4"/>
  <c r="B22" i="4"/>
  <c r="C22" i="4"/>
  <c r="D22" i="4"/>
  <c r="E22" i="4"/>
  <c r="F22" i="4"/>
  <c r="G22" i="4"/>
  <c r="H22" i="4"/>
  <c r="B23" i="4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B25" i="4"/>
  <c r="C25" i="4"/>
  <c r="D25" i="4"/>
  <c r="E25" i="4"/>
  <c r="F25" i="4"/>
  <c r="G25" i="4"/>
  <c r="H25" i="4"/>
  <c r="B26" i="4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B28" i="4"/>
  <c r="C28" i="4"/>
  <c r="D28" i="4"/>
  <c r="E28" i="4"/>
  <c r="F28" i="4"/>
  <c r="G28" i="4"/>
  <c r="H28" i="4"/>
  <c r="B29" i="4"/>
  <c r="C29" i="4"/>
  <c r="D29" i="4"/>
  <c r="E29" i="4"/>
  <c r="F29" i="4"/>
  <c r="G29" i="4"/>
  <c r="H29" i="4"/>
  <c r="B30" i="4"/>
  <c r="C30" i="4"/>
  <c r="D30" i="4"/>
  <c r="E30" i="4"/>
  <c r="F30" i="4"/>
  <c r="G30" i="4"/>
  <c r="H30" i="4"/>
  <c r="B31" i="4"/>
  <c r="C31" i="4"/>
  <c r="D31" i="4"/>
  <c r="E31" i="4"/>
  <c r="F31" i="4"/>
  <c r="G31" i="4"/>
  <c r="H31" i="4"/>
  <c r="B32" i="4"/>
  <c r="C32" i="4"/>
  <c r="D32" i="4"/>
  <c r="E32" i="4"/>
  <c r="F32" i="4"/>
  <c r="G32" i="4"/>
  <c r="H32" i="4"/>
  <c r="B33" i="4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B35" i="4"/>
  <c r="C35" i="4"/>
  <c r="D35" i="4"/>
  <c r="E35" i="4"/>
  <c r="F35" i="4"/>
  <c r="G35" i="4"/>
  <c r="H35" i="4"/>
  <c r="B36" i="4"/>
  <c r="C36" i="4"/>
  <c r="D36" i="4"/>
  <c r="E36" i="4"/>
  <c r="F36" i="4"/>
  <c r="G36" i="4"/>
  <c r="H36" i="4"/>
  <c r="B37" i="4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B39" i="4"/>
  <c r="C39" i="4"/>
  <c r="D39" i="4"/>
  <c r="E39" i="4"/>
  <c r="F39" i="4"/>
  <c r="G39" i="4"/>
  <c r="H39" i="4"/>
  <c r="B40" i="4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B42" i="4"/>
  <c r="C42" i="4"/>
  <c r="D42" i="4"/>
  <c r="E42" i="4"/>
  <c r="F42" i="4"/>
  <c r="G42" i="4"/>
  <c r="H42" i="4"/>
  <c r="B43" i="4"/>
  <c r="C43" i="4"/>
  <c r="D43" i="4"/>
  <c r="E43" i="4"/>
  <c r="F43" i="4"/>
  <c r="G43" i="4"/>
  <c r="H43" i="4"/>
  <c r="B44" i="4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B46" i="4"/>
  <c r="C46" i="4"/>
  <c r="D46" i="4"/>
  <c r="E46" i="4"/>
  <c r="F46" i="4"/>
  <c r="G46" i="4"/>
  <c r="H46" i="4"/>
  <c r="B47" i="4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B49" i="4"/>
  <c r="C49" i="4"/>
  <c r="D49" i="4"/>
  <c r="E49" i="4"/>
  <c r="F49" i="4"/>
  <c r="G49" i="4"/>
  <c r="H49" i="4"/>
  <c r="B50" i="4"/>
  <c r="C50" i="4"/>
  <c r="D50" i="4"/>
  <c r="E50" i="4"/>
  <c r="F50" i="4"/>
  <c r="G50" i="4"/>
  <c r="H50" i="4"/>
  <c r="B51" i="4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B53" i="4"/>
  <c r="C53" i="4"/>
  <c r="D53" i="4"/>
  <c r="E53" i="4"/>
  <c r="F53" i="4"/>
  <c r="G53" i="4"/>
  <c r="H53" i="4"/>
  <c r="B54" i="4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B56" i="4"/>
  <c r="C56" i="4"/>
  <c r="D56" i="4"/>
  <c r="E56" i="4"/>
  <c r="F56" i="4"/>
  <c r="G56" i="4"/>
  <c r="H56" i="4"/>
  <c r="B57" i="4"/>
  <c r="C57" i="4"/>
  <c r="D57" i="4"/>
  <c r="E57" i="4"/>
  <c r="F57" i="4"/>
  <c r="G57" i="4"/>
  <c r="H57" i="4"/>
  <c r="B58" i="4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B60" i="4"/>
  <c r="C60" i="4"/>
  <c r="D60" i="4"/>
  <c r="E60" i="4"/>
  <c r="F60" i="4"/>
  <c r="G60" i="4"/>
  <c r="H60" i="4"/>
  <c r="B61" i="4"/>
  <c r="C61" i="4"/>
  <c r="D61" i="4"/>
  <c r="E61" i="4"/>
  <c r="F61" i="4"/>
  <c r="G61" i="4"/>
  <c r="H61" i="4"/>
  <c r="H2" i="4"/>
  <c r="G2" i="4"/>
  <c r="F2" i="4"/>
  <c r="E2" i="4"/>
  <c r="D2" i="4"/>
  <c r="C2" i="4"/>
  <c r="B2" i="4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2" i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I52" i="4" l="1"/>
  <c r="I60" i="4"/>
  <c r="I7" i="4"/>
  <c r="I61" i="4"/>
  <c r="I31" i="4"/>
  <c r="I3" i="4"/>
  <c r="I27" i="4"/>
  <c r="I12" i="4"/>
  <c r="I14" i="4"/>
  <c r="I28" i="4"/>
  <c r="I59" i="4"/>
  <c r="I48" i="4"/>
  <c r="I30" i="4"/>
  <c r="I24" i="4"/>
  <c r="I20" i="4"/>
  <c r="I39" i="4"/>
  <c r="I16" i="4"/>
  <c r="I10" i="4"/>
  <c r="I8" i="4"/>
  <c r="I55" i="4"/>
  <c r="I45" i="4"/>
  <c r="I41" i="4"/>
  <c r="I23" i="4"/>
  <c r="I21" i="4"/>
  <c r="I17" i="4"/>
  <c r="I32" i="4"/>
  <c r="I13" i="4"/>
  <c r="I38" i="4"/>
  <c r="I34" i="4"/>
  <c r="I11" i="4"/>
  <c r="I51" i="4"/>
  <c r="I49" i="4"/>
  <c r="I26" i="4"/>
  <c r="I47" i="4"/>
  <c r="I22" i="4"/>
  <c r="I43" i="4"/>
  <c r="I2" i="4"/>
  <c r="I25" i="4"/>
  <c r="I46" i="4"/>
  <c r="I37" i="4"/>
  <c r="I35" i="4"/>
  <c r="I58" i="4"/>
  <c r="I56" i="4"/>
  <c r="I33" i="4"/>
  <c r="I54" i="4"/>
  <c r="I29" i="4"/>
  <c r="I50" i="4"/>
  <c r="I19" i="4"/>
  <c r="I9" i="4"/>
  <c r="I6" i="4"/>
  <c r="I53" i="4"/>
  <c r="I44" i="4"/>
  <c r="I42" i="4"/>
  <c r="I4" i="4"/>
  <c r="I40" i="4"/>
  <c r="I36" i="4"/>
  <c r="I15" i="4"/>
  <c r="I57" i="4"/>
  <c r="I18" i="4"/>
</calcChain>
</file>

<file path=xl/sharedStrings.xml><?xml version="1.0" encoding="utf-8"?>
<sst xmlns="http://schemas.openxmlformats.org/spreadsheetml/2006/main" count="761" uniqueCount="131">
  <si>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</si>
  <si>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</si>
  <si>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</si>
  <si>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</si>
  <si>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</si>
  <si>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</si>
  <si>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</si>
  <si>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</si>
  <si>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</si>
  <si>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</si>
  <si>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</si>
  <si>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</si>
  <si>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</si>
  <si>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</si>
  <si>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</si>
  <si>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</si>
  <si>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</si>
  <si>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</si>
  <si>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</si>
  <si>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</si>
  <si>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</si>
  <si>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</si>
  <si>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</si>
  <si>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</si>
  <si>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</si>
  <si>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</si>
  <si>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</si>
  <si>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</si>
  <si>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</si>
  <si>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</si>
  <si>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</si>
  <si>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</si>
  <si>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</si>
  <si>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</si>
  <si>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</si>
  <si>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</si>
  <si>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</si>
  <si>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</si>
  <si>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</si>
  <si>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</si>
  <si>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</si>
  <si>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</si>
  <si>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</si>
  <si>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</si>
  <si>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</si>
  <si>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</si>
  <si>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</si>
  <si>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</si>
  <si>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</si>
  <si>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</si>
  <si>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</si>
  <si>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</si>
  <si>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</si>
  <si>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</si>
  <si>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</si>
  <si>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</si>
  <si>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</si>
  <si>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</si>
  <si>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</si>
  <si>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</si>
  <si>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</si>
  <si>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</si>
  <si>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</si>
  <si>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</si>
  <si>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</si>
  <si>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</si>
  <si>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</si>
  <si>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</si>
  <si>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</si>
  <si>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</si>
  <si>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</si>
  <si>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</si>
  <si>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</si>
  <si>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</si>
  <si>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</si>
  <si>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</si>
  <si>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</si>
  <si>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</si>
  <si>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</si>
  <si>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</si>
  <si>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</si>
  <si>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</si>
  <si>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</si>
  <si>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</si>
  <si>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</si>
  <si>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</si>
  <si>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</si>
  <si>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</si>
  <si>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</si>
  <si>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</si>
  <si>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</si>
  <si>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</si>
  <si>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</si>
  <si>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</si>
  <si>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</si>
  <si>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</si>
  <si>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</si>
  <si>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</si>
  <si>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</si>
  <si>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</si>
  <si>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</si>
  <si>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</si>
  <si>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</si>
  <si>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</si>
  <si>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</si>
  <si>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</si>
  <si>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</si>
  <si>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</si>
  <si>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</si>
  <si>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</si>
  <si>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</si>
  <si>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</si>
  <si>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</si>
  <si>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</si>
  <si>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</si>
  <si>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</si>
  <si>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</si>
  <si>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</si>
  <si>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</si>
  <si>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</si>
  <si>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</si>
  <si>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</si>
  <si>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</si>
  <si>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</si>
  <si>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</si>
  <si>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</si>
  <si>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</si>
  <si>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</si>
  <si>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</si>
  <si>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</si>
  <si>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EST SCHED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</si>
</sst>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abSelected="1" zoomScaleNormal="100" workbookViewId="0">
      <selection activeCell="J2" sqref="J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130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t="s">
        <v>25</v>
      </c>
      <c r="P2">
        <f>IF(O2="OFF",0,
IF(VALUE(LEFT(O2,2))&lt;12,0,1))</f>
        <v>1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t="s">
        <v>28</v>
      </c>
      <c r="P3">
        <f t="shared" ref="P3:P61" si="0">IF(O3="OFF",0,
IF(VALUE(LEFT(O3,2))&lt;12,0,1))</f>
        <v>0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t="s">
        <v>37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t="s">
        <v>47</v>
      </c>
      <c r="P5">
        <f t="shared" si="0"/>
        <v>1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t="s">
        <v>43</v>
      </c>
      <c r="P6">
        <f t="shared" si="0"/>
        <v>0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6" t="s">
        <v>42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t="s">
        <v>46</v>
      </c>
      <c r="P8">
        <f t="shared" si="0"/>
        <v>1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t="s">
        <v>54</v>
      </c>
      <c r="P9">
        <f t="shared" si="0"/>
        <v>1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t="s">
        <v>25</v>
      </c>
      <c r="P11">
        <f t="shared" si="0"/>
        <v>1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t="s">
        <v>44</v>
      </c>
      <c r="P12">
        <f t="shared" si="0"/>
        <v>0</v>
      </c>
    </row>
    <row r="13" spans="1:16" x14ac:dyDescent="0.3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t="s">
        <v>60</v>
      </c>
      <c r="P13">
        <f t="shared" si="0"/>
        <v>1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t="s">
        <v>28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t="s">
        <v>52</v>
      </c>
      <c r="P15">
        <f t="shared" si="0"/>
        <v>1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t="s">
        <v>56</v>
      </c>
      <c r="P16">
        <f t="shared" si="0"/>
        <v>1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t="s">
        <v>56</v>
      </c>
      <c r="P17">
        <f t="shared" si="0"/>
        <v>1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t="s">
        <v>50</v>
      </c>
      <c r="P18">
        <f t="shared" si="0"/>
        <v>1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t="s">
        <v>48</v>
      </c>
      <c r="P19">
        <f t="shared" si="0"/>
        <v>1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t="s">
        <v>46</v>
      </c>
      <c r="P21">
        <f t="shared" si="0"/>
        <v>1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t="s">
        <v>18</v>
      </c>
      <c r="P22">
        <f t="shared" si="0"/>
        <v>1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t="s">
        <v>18</v>
      </c>
      <c r="P23">
        <f t="shared" si="0"/>
        <v>1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t="s">
        <v>38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t="s">
        <v>39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t="s">
        <v>44</v>
      </c>
      <c r="P27">
        <f t="shared" si="0"/>
        <v>0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t="s">
        <v>28</v>
      </c>
      <c r="P28">
        <f t="shared" si="0"/>
        <v>0</v>
      </c>
    </row>
    <row r="29" spans="1:16" x14ac:dyDescent="0.3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t="s">
        <v>28</v>
      </c>
      <c r="P29">
        <f t="shared" si="0"/>
        <v>0</v>
      </c>
    </row>
    <row r="30" spans="1:16" x14ac:dyDescent="0.3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t="s">
        <v>28</v>
      </c>
      <c r="P30">
        <f t="shared" si="0"/>
        <v>0</v>
      </c>
    </row>
    <row r="31" spans="1:16" x14ac:dyDescent="0.3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t="s">
        <v>28</v>
      </c>
      <c r="P31">
        <f t="shared" si="0"/>
        <v>0</v>
      </c>
    </row>
    <row r="32" spans="1:16" x14ac:dyDescent="0.3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t="s">
        <v>28</v>
      </c>
      <c r="P32">
        <f t="shared" si="0"/>
        <v>0</v>
      </c>
    </row>
    <row r="33" spans="1:16" x14ac:dyDescent="0.3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t="s">
        <v>28</v>
      </c>
      <c r="P33">
        <f t="shared" si="0"/>
        <v>0</v>
      </c>
    </row>
    <row r="34" spans="1:16" x14ac:dyDescent="0.3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t="s">
        <v>28</v>
      </c>
      <c r="P34">
        <f t="shared" si="0"/>
        <v>0</v>
      </c>
    </row>
    <row r="35" spans="1:16" s="36" customFormat="1" x14ac:dyDescent="0.3">
      <c r="A35" s="31" t="s">
        <v>96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6" t="s">
        <v>28</v>
      </c>
      <c r="P35">
        <f t="shared" si="0"/>
        <v>0</v>
      </c>
    </row>
    <row r="36" spans="1:16" x14ac:dyDescent="0.3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t="s">
        <v>28</v>
      </c>
      <c r="P36">
        <f t="shared" si="0"/>
        <v>0</v>
      </c>
    </row>
    <row r="37" spans="1:16" x14ac:dyDescent="0.3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t="s">
        <v>28</v>
      </c>
      <c r="P37">
        <f t="shared" si="0"/>
        <v>0</v>
      </c>
    </row>
    <row r="38" spans="1:16" x14ac:dyDescent="0.3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t="s">
        <v>28</v>
      </c>
      <c r="P38">
        <f t="shared" si="0"/>
        <v>0</v>
      </c>
    </row>
    <row r="39" spans="1:16" x14ac:dyDescent="0.3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t="s">
        <v>28</v>
      </c>
      <c r="P39">
        <f t="shared" si="0"/>
        <v>0</v>
      </c>
    </row>
    <row r="40" spans="1:16" x14ac:dyDescent="0.3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t="s">
        <v>28</v>
      </c>
      <c r="P40">
        <f t="shared" si="0"/>
        <v>0</v>
      </c>
    </row>
    <row r="41" spans="1:16" x14ac:dyDescent="0.3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t="s">
        <v>20</v>
      </c>
      <c r="P41">
        <f t="shared" si="0"/>
        <v>0</v>
      </c>
    </row>
    <row r="42" spans="1:16" x14ac:dyDescent="0.3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t="s">
        <v>20</v>
      </c>
      <c r="P42">
        <f t="shared" si="0"/>
        <v>0</v>
      </c>
    </row>
    <row r="43" spans="1:16" x14ac:dyDescent="0.3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t="s">
        <v>20</v>
      </c>
      <c r="P43">
        <f t="shared" si="0"/>
        <v>0</v>
      </c>
    </row>
    <row r="44" spans="1:16" x14ac:dyDescent="0.3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t="s">
        <v>20</v>
      </c>
      <c r="P44">
        <f t="shared" si="0"/>
        <v>0</v>
      </c>
    </row>
    <row r="45" spans="1:16" x14ac:dyDescent="0.3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t="s">
        <v>20</v>
      </c>
      <c r="P45">
        <f t="shared" si="0"/>
        <v>0</v>
      </c>
    </row>
    <row r="46" spans="1:16" x14ac:dyDescent="0.3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t="s">
        <v>20</v>
      </c>
      <c r="P46">
        <f t="shared" si="0"/>
        <v>0</v>
      </c>
    </row>
    <row r="47" spans="1:16" x14ac:dyDescent="0.3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t="s">
        <v>20</v>
      </c>
      <c r="P47">
        <f t="shared" si="0"/>
        <v>0</v>
      </c>
    </row>
    <row r="48" spans="1:16" x14ac:dyDescent="0.3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t="s">
        <v>20</v>
      </c>
      <c r="P48">
        <f t="shared" si="0"/>
        <v>0</v>
      </c>
    </row>
    <row r="49" spans="1:16" x14ac:dyDescent="0.3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t="s">
        <v>20</v>
      </c>
      <c r="P49">
        <f t="shared" si="0"/>
        <v>0</v>
      </c>
    </row>
    <row r="50" spans="1:16" x14ac:dyDescent="0.3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t="s">
        <v>23</v>
      </c>
      <c r="P50">
        <f t="shared" si="0"/>
        <v>0</v>
      </c>
    </row>
    <row r="51" spans="1:16" x14ac:dyDescent="0.3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t="s">
        <v>23</v>
      </c>
      <c r="P51">
        <f t="shared" si="0"/>
        <v>0</v>
      </c>
    </row>
    <row r="52" spans="1:16" x14ac:dyDescent="0.3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t="s">
        <v>62</v>
      </c>
      <c r="P52">
        <f t="shared" si="0"/>
        <v>0</v>
      </c>
    </row>
    <row r="53" spans="1:16" x14ac:dyDescent="0.3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t="s">
        <v>62</v>
      </c>
      <c r="P53">
        <f t="shared" si="0"/>
        <v>0</v>
      </c>
    </row>
    <row r="54" spans="1:16" x14ac:dyDescent="0.3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t="s">
        <v>42</v>
      </c>
      <c r="P54">
        <f t="shared" si="0"/>
        <v>0</v>
      </c>
    </row>
    <row r="55" spans="1:16" x14ac:dyDescent="0.3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t="s">
        <v>42</v>
      </c>
      <c r="P55">
        <f t="shared" si="0"/>
        <v>0</v>
      </c>
    </row>
    <row r="56" spans="1:16" x14ac:dyDescent="0.3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t="s">
        <v>43</v>
      </c>
      <c r="P56">
        <f t="shared" si="0"/>
        <v>0</v>
      </c>
    </row>
    <row r="57" spans="1:16" x14ac:dyDescent="0.3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t="s">
        <v>43</v>
      </c>
      <c r="P57">
        <f t="shared" si="0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t="s">
        <v>34</v>
      </c>
      <c r="P58">
        <f t="shared" si="0"/>
        <v>0</v>
      </c>
    </row>
    <row r="59" spans="1:16" x14ac:dyDescent="0.3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t="s">
        <v>45</v>
      </c>
      <c r="P59">
        <f t="shared" si="0"/>
        <v>0</v>
      </c>
    </row>
    <row r="60" spans="1:16" x14ac:dyDescent="0.3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t="s">
        <v>14</v>
      </c>
      <c r="P60">
        <f t="shared" si="0"/>
        <v>0</v>
      </c>
    </row>
    <row r="61" spans="1:16" x14ac:dyDescent="0.3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t="s">
        <v>58</v>
      </c>
      <c r="P61">
        <f t="shared" si="0"/>
        <v>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13:00 - 00:00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OFF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Thu - Fri - Sat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</row>
    <row r="3" spans="1:14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OFF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01:00 - 12:00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Thu - Fri - Sat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</row>
    <row r="4" spans="1:14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</row>
    <row r="5" spans="1:14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OFF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19:30 - 06:30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Mon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</row>
    <row r="6" spans="1:14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OFF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08:00 - 19:00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Mon - Tue - Wed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</row>
    <row r="7" spans="1:14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</row>
    <row r="8" spans="1:14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OFF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21:00 - 08:00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OFF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21:00 - 08:00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Mon - Fri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</row>
    <row r="9" spans="1:14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21:00 - 08:00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OFF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Wed - Thu - Fri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</row>
    <row r="10" spans="1:14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</row>
    <row r="11" spans="1:14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OFF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15:00 - 02:00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OFF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15:00 - 02:00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Mon - Thu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</row>
    <row r="12" spans="1:14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</row>
    <row r="13" spans="1:14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OFF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19:30 - 06:30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Mon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</row>
    <row r="14" spans="1:14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</row>
    <row r="15" spans="1:14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20:00 - 07:00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OFF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Wed - Thu - Fri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</row>
    <row r="16" spans="1:14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OFF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23:00 - 10:00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Mon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</row>
    <row r="17" spans="1:14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OFF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21:00 - 08:00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21:00 - 08:00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Mon - Fri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</row>
    <row r="18" spans="1:14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OFF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21:00 - 08:00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Mon - Thu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</row>
    <row r="19" spans="1:14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OFF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20:00 - 07:00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OFF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20:00 - 07:00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Mon - Thu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OFF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18:00 - 05:00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Mon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</row>
    <row r="22" spans="1:14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17:00 - 04:00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1"/>
        <v>Fri - Sat - Sun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</row>
    <row r="23" spans="1:14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OFF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22:00 - 09:00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Mon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</row>
    <row r="24" spans="1:14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1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</row>
    <row r="27" spans="1:14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10:00 - 21:00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OFF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10:00 - 21:00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Wed - Sat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</row>
    <row r="28" spans="1:14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</row>
    <row r="29" spans="1:14" x14ac:dyDescent="0.3">
      <c r="A29" t="str">
        <f>EST!A29</f>
        <v>JHANELLE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00:00 - 11:00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1"/>
        <v>Mon - Tue - Sun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</row>
    <row r="30" spans="1:14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1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</row>
    <row r="31" spans="1:14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OFF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09:00 - 20:00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1"/>
        <v>Wed - Thu - Fri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</row>
    <row r="32" spans="1:14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</row>
    <row r="33" spans="1:14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09:00 - 20:00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OFF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09:00 - 20:00</v>
      </c>
      <c r="I33" t="str">
        <f t="shared" si="1"/>
        <v>Tue - Wed - Sat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</row>
    <row r="34" spans="1:14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01:00 - 12:00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Fri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</row>
    <row r="35" spans="1:14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</row>
    <row r="36" spans="1:14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</row>
    <row r="38" spans="1:14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10:30 - 21:30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10:30 - 21:30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1"/>
        <v>Thu - Fri - Sun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</row>
    <row r="39" spans="1:14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1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</row>
    <row r="40" spans="1:14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05:00 - 16:00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Mon - Sat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</row>
    <row r="41" spans="1:14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</row>
    <row r="42" spans="1:14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1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</row>
    <row r="43" spans="1:14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</row>
    <row r="44" spans="1:14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06:30 - 17:30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1"/>
        <v>Mon - Tue - Sun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</row>
    <row r="45" spans="1:14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</row>
    <row r="46" spans="1:14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</row>
    <row r="47" spans="1:14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1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</row>
    <row r="48" spans="1:14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08:00 - 19:00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1"/>
        <v>Mon - Tue - Wed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</row>
    <row r="49" spans="1:14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10:00 - 21:00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Fri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</row>
    <row r="50" spans="1:14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1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</row>
    <row r="51" spans="1:14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1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</row>
    <row r="52" spans="1:14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1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</row>
    <row r="53" spans="1:14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05:00 - 16:00</v>
      </c>
      <c r="I53" t="str">
        <f t="shared" si="1"/>
        <v>Thu - Fri - Sat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</row>
    <row r="54" spans="1:14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1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</row>
    <row r="55" spans="1:14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OFF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11:00 - 22:00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11:00 - 22:00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1"/>
        <v>Mon - Tue - Fri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</row>
    <row r="56" spans="1:14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1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</row>
    <row r="57" spans="1:14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1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</row>
    <row r="58" spans="1:14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1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</row>
    <row r="59" spans="1:14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1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</row>
    <row r="60" spans="1:14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</row>
    <row r="61" spans="1:14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14.33203125" customWidth="1"/>
  </cols>
  <sheetData>
    <row r="1" spans="1:4" ht="17.399999999999999" thickBot="1" x14ac:dyDescent="0.35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125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125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125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125</v>
      </c>
      <c r="D5" t="str">
        <f>VLOOKUP(A5,EST!A:N,14,FALSE)</f>
        <v>Michael Dominguez</v>
      </c>
    </row>
    <row r="6" spans="1:4" x14ac:dyDescent="0.3">
      <c r="A6" t="s">
        <v>95</v>
      </c>
      <c r="B6" s="29">
        <v>46317</v>
      </c>
      <c r="C6" t="s">
        <v>125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125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125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125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125</v>
      </c>
      <c r="D10" t="str">
        <f>VLOOKUP(A10,EST!A:N,14,FALSE)</f>
        <v>Michael Dominguez</v>
      </c>
    </row>
    <row r="11" spans="1:4" x14ac:dyDescent="0.3">
      <c r="A11" t="s">
        <v>116</v>
      </c>
      <c r="B11" s="29">
        <v>46318</v>
      </c>
      <c r="C11" t="s">
        <v>125</v>
      </c>
      <c r="D11" t="str">
        <f>VLOOKUP(A11,EST!A:N,14,FALSE)</f>
        <v>Anmecha Valencia</v>
      </c>
    </row>
    <row r="12" spans="1:4" x14ac:dyDescent="0.3">
      <c r="A12" t="s">
        <v>108</v>
      </c>
      <c r="B12" s="29">
        <v>46320</v>
      </c>
      <c r="C12" t="s">
        <v>125</v>
      </c>
      <c r="D12" t="str">
        <f>VLOOKUP(A12,EST!A:N,14,FALSE)</f>
        <v>Remmo Panaligan</v>
      </c>
    </row>
    <row r="13" spans="1:4" x14ac:dyDescent="0.3">
      <c r="A13" t="s">
        <v>118</v>
      </c>
      <c r="B13" s="29">
        <v>46321</v>
      </c>
      <c r="C13" t="s">
        <v>125</v>
      </c>
      <c r="D13" t="str">
        <f>VLOOKUP(A13,EST!A:N,14,FALSE)</f>
        <v>Michael Dominguez</v>
      </c>
    </row>
    <row r="14" spans="1:4" x14ac:dyDescent="0.3">
      <c r="A14" t="s">
        <v>93</v>
      </c>
      <c r="B14" s="29">
        <v>46321</v>
      </c>
      <c r="C14" t="s">
        <v>125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125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125</v>
      </c>
      <c r="D16" t="str">
        <f>VLOOKUP(A16,EST!A:N,14,FALSE)</f>
        <v>Anmecha Valencia</v>
      </c>
    </row>
    <row r="17" spans="1:4" x14ac:dyDescent="0.3">
      <c r="A17" t="s">
        <v>118</v>
      </c>
      <c r="B17" s="29">
        <v>46322</v>
      </c>
      <c r="C17" t="s">
        <v>125</v>
      </c>
      <c r="D17" t="str">
        <f>VLOOKUP(A17,EST!A:N,14,FALSE)</f>
        <v>Michael Dominguez</v>
      </c>
    </row>
    <row r="18" spans="1:4" x14ac:dyDescent="0.3">
      <c r="A18" t="s">
        <v>93</v>
      </c>
      <c r="B18" s="29">
        <v>46322</v>
      </c>
      <c r="C18" t="s">
        <v>125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125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125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125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125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125</v>
      </c>
      <c r="D23" t="str">
        <f>VLOOKUP(A23,EST!A:N,14,FALSE)</f>
        <v>Manilyn Abellar</v>
      </c>
    </row>
    <row r="24" spans="1:4" x14ac:dyDescent="0.3">
      <c r="A24" t="s">
        <v>102</v>
      </c>
      <c r="B24" s="29">
        <v>46324</v>
      </c>
      <c r="C24" t="s">
        <v>125</v>
      </c>
      <c r="D24" t="str">
        <f>VLOOKUP(A24,EST!A:N,14,FALSE)</f>
        <v>Remmo Panaligan</v>
      </c>
    </row>
    <row r="25" spans="1:4" x14ac:dyDescent="0.3">
      <c r="A25" t="s">
        <v>126</v>
      </c>
      <c r="B25" s="29">
        <v>46324</v>
      </c>
      <c r="C25" t="s">
        <v>125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125</v>
      </c>
      <c r="D26" t="str">
        <f>VLOOKUP(A26,EST!A:N,14,FALSE)</f>
        <v>Anmecha Valencia</v>
      </c>
    </row>
    <row r="27" spans="1:4" x14ac:dyDescent="0.3">
      <c r="A27" t="s">
        <v>95</v>
      </c>
      <c r="B27" s="29">
        <v>46324</v>
      </c>
      <c r="C27" t="s">
        <v>125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125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125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workbookViewId="0">
      <selection activeCell="C15" sqref="C15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124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127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128</v>
      </c>
      <c r="D4" t="str">
        <f>VLOOKUP(A4,EST!A:N,14,FALSE)</f>
        <v>Anmecha Valencia</v>
      </c>
    </row>
    <row r="5" spans="1:4" x14ac:dyDescent="0.3">
      <c r="A5" s="27" t="s">
        <v>99</v>
      </c>
      <c r="B5" s="29">
        <v>46316</v>
      </c>
      <c r="C5" s="27" t="s">
        <v>129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</vt:lpstr>
      <vt:lpstr>PH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2026-10-22T16:41:12Z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