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4" documentId="11_94451ABCA0A2D337C40D543FD3FF15B293680652" xr6:coauthVersionLast="47" xr6:coauthVersionMax="47" xr10:uidLastSave="{0F871837-DCE6-405E-954D-71EC190CA38D}"/>
  <bookViews>
    <workbookView xWindow="-108" yWindow="-108" windowWidth="23256" windowHeight="13896" activeTab="1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2" i="2" l="1"/>
  <c r="P62" i="4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<sst xmlns="http://schemas.openxmlformats.org/spreadsheetml/2006/main" count="873" uniqueCount="144">
  <si>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</si>
  <si>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</si>
  <si>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</si>
  <si>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</si>
  <si>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</si>
  <si>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</si>
  <si>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</si>
  <si>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</si>
  <si>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</si>
  <si>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</si>
  <si>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</si>
  <si>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</si>
  <si>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</si>
  <si>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</si>
  <si>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</si>
  <si>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</si>
  <si>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</si>
  <si>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</si>
  <si>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</si>
  <si>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</si>
  <si>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</si>
  <si>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</si>
  <si>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</si>
  <si>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</si>
  <si>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</si>
  <si>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</si>
  <si>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</si>
  <si>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</si>
  <si>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</si>
  <si>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</si>
  <si>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</si>
  <si>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</si>
  <si>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</si>
  <si>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</si>
  <si>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</si>
  <si>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</si>
  <si>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</si>
  <si>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</si>
  <si>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</si>
  <si>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</si>
  <si>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</si>
  <si>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</si>
  <si>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</si>
  <si>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</si>
  <si>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</si>
  <si>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</si>
  <si>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</si>
  <si>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</si>
  <si>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</si>
  <si>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</si>
  <si>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</si>
  <si>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</si>
  <si>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</si>
  <si>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</si>
  <si>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</si>
  <si>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</si>
  <si>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</si>
  <si>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</si>
  <si>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</si>
  <si>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</si>
  <si>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</si>
  <si>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</si>
  <si>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</si>
  <si>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</si>
  <si>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</si>
  <si>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</si>
  <si>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</si>
  <si>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</si>
  <si>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</si>
  <si>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</si>
  <si>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</si>
  <si>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</si>
  <si>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</si>
  <si>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</si>
  <si>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</si>
  <si>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</si>
  <si>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</si>
  <si>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</si>
  <si>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</si>
  <si>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</si>
  <si>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</si>
  <si>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</si>
  <si>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</si>
  <si>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</si>
  <si>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</si>
  <si>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</si>
  <si>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</si>
  <si>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</si>
  <si>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</si>
  <si>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</si>
  <si>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</si>
  <si>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</si>
  <si>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</si>
  <si>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</si>
  <si>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</si>
  <si>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</si>
  <si>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</si>
  <si>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</si>
  <si>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</si>
  <si>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</si>
  <si>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</si>
  <si>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</si>
  <si>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</si>
  <si>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</si>
  <si>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</si>
  <si>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</si>
  <si>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</si>
  <si>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</si>
  <si>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</si>
  <si>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MARK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</si>
  <si>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</si>
  <si>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</si>
  <si>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</si>
  <si>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</si>
  <si>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</si>
  <si>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</si>
  <si>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</si>
  <si>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</si>
  <si>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</si>
  <si>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</si>
  <si>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</si>
  <si>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</si>
  <si>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</si>
  <si>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</si>
  <si>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</si>
  <si>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</si>
  <si>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</si>
  <si>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</si>
  <si>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</si>
  <si>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</si>
  <si>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</si>
  <si>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</si>
  <si>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</si>
  <si>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</si>
  <si>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PTO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</si>
  <si>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</si>
  <si>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</si>
  <si>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</si>
  <si>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</si>
  <si>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</si>
  <si>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</si>
  <si>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</si>
  <si>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</si>
  <si>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LOA (Mat Leave)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</si>
</sst>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zoomScaleNormal="100" workbookViewId="0">
      <pane ySplit="1" topLeftCell="A57" activePane="bottomLeft" state="frozen"/>
      <selection pane="bottomLeft" activeCell="A62" sqref="A62:XFD62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139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102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103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104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105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106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107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108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109</v>
      </c>
      <c r="B54" s="9" t="s">
        <v>110</v>
      </c>
      <c r="C54" s="9" t="s">
        <v>110</v>
      </c>
      <c r="D54" s="1" t="s">
        <v>17</v>
      </c>
      <c r="E54" s="1" t="s">
        <v>17</v>
      </c>
      <c r="F54" s="1" t="s">
        <v>17</v>
      </c>
      <c r="G54" s="9" t="s">
        <v>110</v>
      </c>
      <c r="H54" s="9" t="s">
        <v>110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111</v>
      </c>
      <c r="O54" s="9" t="s">
        <v>110</v>
      </c>
      <c r="P54">
        <f t="shared" si="1"/>
        <v>0</v>
      </c>
    </row>
    <row r="55" spans="1:17" x14ac:dyDescent="0.3">
      <c r="A55" s="11" t="s">
        <v>112</v>
      </c>
      <c r="B55" s="5" t="s">
        <v>17</v>
      </c>
      <c r="C55" s="5" t="s">
        <v>17</v>
      </c>
      <c r="D55" s="5" t="s">
        <v>113</v>
      </c>
      <c r="E55" s="5" t="s">
        <v>113</v>
      </c>
      <c r="F55" s="5" t="s">
        <v>17</v>
      </c>
      <c r="G55" s="5" t="s">
        <v>113</v>
      </c>
      <c r="H55" s="5" t="s">
        <v>113</v>
      </c>
      <c r="I55" s="6" t="s">
        <v>114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113</v>
      </c>
      <c r="P55">
        <f t="shared" si="1"/>
        <v>1</v>
      </c>
    </row>
    <row r="56" spans="1:17" x14ac:dyDescent="0.3">
      <c r="A56" s="10" t="s">
        <v>115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116</v>
      </c>
      <c r="B57" s="17" t="s">
        <v>117</v>
      </c>
      <c r="C57" s="17" t="s">
        <v>117</v>
      </c>
      <c r="D57" s="17" t="s">
        <v>17</v>
      </c>
      <c r="E57" s="17" t="s">
        <v>17</v>
      </c>
      <c r="F57" s="17" t="s">
        <v>17</v>
      </c>
      <c r="G57" s="17" t="s">
        <v>117</v>
      </c>
      <c r="H57" s="17" t="s">
        <v>117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117</v>
      </c>
      <c r="P57">
        <f t="shared" si="1"/>
        <v>0</v>
      </c>
    </row>
    <row r="58" spans="1:17" x14ac:dyDescent="0.3">
      <c r="A58" s="11" t="s">
        <v>118</v>
      </c>
      <c r="B58" s="5" t="s">
        <v>119</v>
      </c>
      <c r="C58" s="5" t="s">
        <v>119</v>
      </c>
      <c r="D58" s="5" t="s">
        <v>17</v>
      </c>
      <c r="E58" s="5" t="s">
        <v>17</v>
      </c>
      <c r="F58" s="5" t="s">
        <v>17</v>
      </c>
      <c r="G58" s="5" t="s">
        <v>119</v>
      </c>
      <c r="H58" s="5" t="s">
        <v>119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119</v>
      </c>
      <c r="P58">
        <f t="shared" si="1"/>
        <v>0</v>
      </c>
    </row>
    <row r="59" spans="1:17" x14ac:dyDescent="0.3">
      <c r="A59" s="11" t="s">
        <v>120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121</v>
      </c>
      <c r="B60" s="5" t="s">
        <v>117</v>
      </c>
      <c r="C60" s="5" t="s">
        <v>117</v>
      </c>
      <c r="D60" s="5" t="s">
        <v>117</v>
      </c>
      <c r="E60" s="5" t="s">
        <v>117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117</v>
      </c>
      <c r="P60">
        <f t="shared" si="1"/>
        <v>0</v>
      </c>
    </row>
    <row r="61" spans="1:17" ht="15" customHeight="1" x14ac:dyDescent="0.3">
      <c r="A61" s="11" t="s">
        <v>122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141</v>
      </c>
      <c r="B62" s="41" t="s">
        <v>17</v>
      </c>
      <c r="C62" s="41" t="s">
        <v>17</v>
      </c>
      <c r="D62" s="41" t="s">
        <v>17</v>
      </c>
      <c r="E62" s="42" t="s">
        <v>131</v>
      </c>
      <c r="F62" s="42" t="s">
        <v>131</v>
      </c>
      <c r="G62" s="42" t="s">
        <v>131</v>
      </c>
      <c r="H62" s="42" t="s">
        <v>131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131</v>
      </c>
      <c r="P62">
        <f t="shared" ref="P62:P63" si="2">IF(O62="OFF",0,
IF(VALUE(LEFT(O62,2))&lt;12,0,1))</f>
        <v>1</v>
      </c>
    </row>
    <row r="63" spans="1:17" x14ac:dyDescent="0.3">
      <c r="A63" s="40" t="s">
        <v>142</v>
      </c>
      <c r="B63" s="41" t="s">
        <v>17</v>
      </c>
      <c r="C63" s="41" t="s">
        <v>17</v>
      </c>
      <c r="D63" s="42" t="s">
        <v>129</v>
      </c>
      <c r="E63" s="42" t="s">
        <v>129</v>
      </c>
      <c r="F63" s="42" t="s">
        <v>129</v>
      </c>
      <c r="G63" s="42" t="s">
        <v>129</v>
      </c>
      <c r="H63" s="41" t="s">
        <v>17</v>
      </c>
      <c r="I63" s="42" t="s">
        <v>140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129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abSelected="1" topLeftCell="A31" zoomScale="85" zoomScaleNormal="85" workbookViewId="0">
      <selection activeCell="A66" sqref="A66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123</v>
      </c>
      <c r="P1" s="39" t="s">
        <v>124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125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126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125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127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113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113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128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129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130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131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131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117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workbookViewId="0">
      <selection activeCell="B14" sqref="B14"/>
    </sheetView>
  </sheetViews>
  <sheetFormatPr defaultRowHeight="14.4" x14ac:dyDescent="0.3"/>
  <cols>
    <col min="1" max="1" width="26.6640625" customWidth="1"/>
    <col min="2" max="2" width="21" style="29" customWidth="1"/>
    <col min="3" max="3" width="13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132</v>
      </c>
      <c r="C1" s="24" t="s">
        <v>133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134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134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134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134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134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134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134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134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134</v>
      </c>
      <c r="D10" t="str">
        <f>_xlfn.IFNA(VLOOKUP(A10,EST!A:N,14,FALSE),"")</f>
        <v>Michael Dominguez</v>
      </c>
    </row>
    <row r="11" spans="1:4" x14ac:dyDescent="0.3">
      <c r="A11" t="s">
        <v>112</v>
      </c>
      <c r="B11" s="29">
        <v>46318</v>
      </c>
      <c r="C11" t="s">
        <v>134</v>
      </c>
      <c r="D11" t="str">
        <f>_xlfn.IFNA(VLOOKUP(A11,EST!A:N,14,FALSE),"")</f>
        <v>Anmecha Valencia</v>
      </c>
    </row>
    <row r="12" spans="1:4" x14ac:dyDescent="0.3">
      <c r="A12" t="s">
        <v>141</v>
      </c>
      <c r="B12" s="29">
        <v>46319</v>
      </c>
      <c r="C12" t="s">
        <v>143</v>
      </c>
      <c r="D12" t="str">
        <f>_xlfn.IFNA(VLOOKUP(A12,EST!A:N,14,FALSE),"")</f>
        <v>Manilyn Abellar</v>
      </c>
    </row>
    <row r="13" spans="1:4" x14ac:dyDescent="0.3">
      <c r="A13" t="s">
        <v>101</v>
      </c>
      <c r="B13" s="29">
        <v>46320</v>
      </c>
      <c r="C13" t="s">
        <v>134</v>
      </c>
      <c r="D13" t="str">
        <f>_xlfn.IFNA(VLOOKUP(A13,EST!A:N,14,FALSE),"")</f>
        <v>Remmo Panaligan</v>
      </c>
    </row>
    <row r="14" spans="1:4" x14ac:dyDescent="0.3">
      <c r="A14" t="s">
        <v>141</v>
      </c>
      <c r="B14" s="29">
        <v>46320</v>
      </c>
      <c r="C14" t="s">
        <v>143</v>
      </c>
      <c r="D14" t="str">
        <f>_xlfn.IFNA(VLOOKUP(A14,EST!A:N,14,FALSE),"")</f>
        <v>Manilyn Abellar</v>
      </c>
    </row>
    <row r="15" spans="1:4" x14ac:dyDescent="0.3">
      <c r="A15" t="s">
        <v>116</v>
      </c>
      <c r="B15" s="29">
        <v>46321</v>
      </c>
      <c r="C15" t="s">
        <v>134</v>
      </c>
      <c r="D15" t="str">
        <f>_xlfn.IFNA(VLOOKUP(A15,EST!A:N,14,FALSE),"")</f>
        <v>Michael Dominguez</v>
      </c>
    </row>
    <row r="16" spans="1:4" x14ac:dyDescent="0.3">
      <c r="A16" t="s">
        <v>79</v>
      </c>
      <c r="B16" s="29">
        <v>46321</v>
      </c>
      <c r="C16" t="s">
        <v>134</v>
      </c>
      <c r="D16" t="str">
        <f>_xlfn.IFNA(VLOOKUP(A16,EST!A:N,14,FALSE),"")</f>
        <v>Remmo Panaligan</v>
      </c>
    </row>
    <row r="17" spans="1:4" x14ac:dyDescent="0.3">
      <c r="A17" t="s">
        <v>67</v>
      </c>
      <c r="B17" s="29">
        <v>46321</v>
      </c>
      <c r="C17" t="s">
        <v>134</v>
      </c>
      <c r="D17" t="str">
        <f>_xlfn.IFNA(VLOOKUP(A17,EST!A:N,14,FALSE),"")</f>
        <v>Remmo Panaligan</v>
      </c>
    </row>
    <row r="18" spans="1:4" x14ac:dyDescent="0.3">
      <c r="A18" t="s">
        <v>56</v>
      </c>
      <c r="B18" s="29">
        <v>46321</v>
      </c>
      <c r="C18" t="s">
        <v>134</v>
      </c>
      <c r="D18" t="str">
        <f>_xlfn.IFNA(VLOOKUP(A18,EST!A:N,14,FALSE),"")</f>
        <v>Anmecha Valencia</v>
      </c>
    </row>
    <row r="19" spans="1:4" x14ac:dyDescent="0.3">
      <c r="A19" t="s">
        <v>116</v>
      </c>
      <c r="B19" s="29">
        <v>46322</v>
      </c>
      <c r="C19" t="s">
        <v>134</v>
      </c>
      <c r="D19" t="str">
        <f>_xlfn.IFNA(VLOOKUP(A19,EST!A:N,14,FALSE),"")</f>
        <v>Michael Dominguez</v>
      </c>
    </row>
    <row r="20" spans="1:4" x14ac:dyDescent="0.3">
      <c r="A20" t="s">
        <v>79</v>
      </c>
      <c r="B20" s="29">
        <v>46322</v>
      </c>
      <c r="C20" t="s">
        <v>134</v>
      </c>
      <c r="D20" t="str">
        <f>_xlfn.IFNA(VLOOKUP(A20,EST!A:N,14,FALSE),"")</f>
        <v>Remmo Panaligan</v>
      </c>
    </row>
    <row r="21" spans="1:4" x14ac:dyDescent="0.3">
      <c r="A21" t="s">
        <v>67</v>
      </c>
      <c r="B21" s="29">
        <v>46322</v>
      </c>
      <c r="C21" t="s">
        <v>134</v>
      </c>
      <c r="D21" t="str">
        <f>_xlfn.IFNA(VLOOKUP(A21,EST!A:N,14,FALSE),"")</f>
        <v>Remmo Panaligan</v>
      </c>
    </row>
    <row r="22" spans="1:4" x14ac:dyDescent="0.3">
      <c r="A22" t="s">
        <v>56</v>
      </c>
      <c r="B22" s="29">
        <v>46322</v>
      </c>
      <c r="C22" t="s">
        <v>134</v>
      </c>
      <c r="D22" t="str">
        <f>_xlfn.IFNA(VLOOKUP(A22,EST!A:N,14,FALSE),"")</f>
        <v>Anmecha Valencia</v>
      </c>
    </row>
    <row r="23" spans="1:4" x14ac:dyDescent="0.3">
      <c r="A23" t="s">
        <v>62</v>
      </c>
      <c r="B23" s="29">
        <v>46322</v>
      </c>
      <c r="C23" t="s">
        <v>134</v>
      </c>
      <c r="D23" t="str">
        <f>_xlfn.IFNA(VLOOKUP(A23,EST!A:N,14,FALSE),"")</f>
        <v>Christopher Rodas</v>
      </c>
    </row>
    <row r="24" spans="1:4" x14ac:dyDescent="0.3">
      <c r="A24" t="s">
        <v>62</v>
      </c>
      <c r="B24" s="29">
        <v>46323</v>
      </c>
      <c r="C24" t="s">
        <v>134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134</v>
      </c>
      <c r="D25" t="str">
        <f>_xlfn.IFNA(VLOOKUP(A25,EST!A:N,14,FALSE),"")</f>
        <v>Manilyn Abellar</v>
      </c>
    </row>
    <row r="26" spans="1:4" x14ac:dyDescent="0.3">
      <c r="A26" s="46" t="s">
        <v>142</v>
      </c>
      <c r="B26" s="29">
        <v>46323</v>
      </c>
      <c r="C26" t="s">
        <v>143</v>
      </c>
      <c r="D26" t="str">
        <f>_xlfn.IFNA(VLOOKUP(A26,EST!A:N,14,FALSE),"")</f>
        <v>Manilyn Abellar</v>
      </c>
    </row>
    <row r="27" spans="1:4" x14ac:dyDescent="0.3">
      <c r="A27" t="s">
        <v>93</v>
      </c>
      <c r="B27" s="29">
        <v>46324</v>
      </c>
      <c r="C27" t="s">
        <v>134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134</v>
      </c>
      <c r="D28" t="str">
        <f>_xlfn.IFNA(VLOOKUP(A28,EST!A:N,14,FALSE),"")</f>
        <v>Christopher Rodas</v>
      </c>
    </row>
    <row r="29" spans="1:4" x14ac:dyDescent="0.3">
      <c r="A29" t="s">
        <v>56</v>
      </c>
      <c r="B29" s="29">
        <v>46324</v>
      </c>
      <c r="C29" t="s">
        <v>134</v>
      </c>
      <c r="D29" t="str">
        <f>_xlfn.IFNA(VLOOKUP(A29,EST!A:N,14,FALSE),"")</f>
        <v>Anmecha Valencia</v>
      </c>
    </row>
    <row r="30" spans="1:4" x14ac:dyDescent="0.3">
      <c r="A30" t="s">
        <v>83</v>
      </c>
      <c r="B30" s="29">
        <v>46324</v>
      </c>
      <c r="C30" t="s">
        <v>134</v>
      </c>
      <c r="D30" t="str">
        <f>_xlfn.IFNA(VLOOKUP(A30,EST!A:N,14,FALSE),"")</f>
        <v>Manilyn Abellar</v>
      </c>
    </row>
    <row r="31" spans="1:4" x14ac:dyDescent="0.3">
      <c r="A31" s="46" t="s">
        <v>142</v>
      </c>
      <c r="B31" s="29">
        <v>46324</v>
      </c>
      <c r="C31" t="s">
        <v>143</v>
      </c>
      <c r="D31" t="str">
        <f>_xlfn.IFNA(VLOOKUP(A31,EST!A:N,14,FALSE),"")</f>
        <v>Manilyn Abellar</v>
      </c>
    </row>
    <row r="32" spans="1:4" x14ac:dyDescent="0.3">
      <c r="A32" s="47" t="s">
        <v>141</v>
      </c>
      <c r="B32" s="29">
        <v>46324</v>
      </c>
      <c r="C32" t="s">
        <v>143</v>
      </c>
      <c r="D32" t="str">
        <f>_xlfn.IFNA(VLOOKUP(A32,EST!A:N,14,FALSE),"")</f>
        <v>Manilyn Abellar</v>
      </c>
    </row>
    <row r="33" spans="1:4" x14ac:dyDescent="0.3">
      <c r="A33" s="47" t="s">
        <v>70</v>
      </c>
      <c r="B33" s="29">
        <v>46325</v>
      </c>
      <c r="C33" t="s">
        <v>134</v>
      </c>
      <c r="D33" t="str">
        <f>_xlfn.IFNA(VLOOKUP(A33,EST!A:N,14,FALSE),"")</f>
        <v>Manilyn Abellar</v>
      </c>
    </row>
    <row r="34" spans="1:4" x14ac:dyDescent="0.3">
      <c r="A34" s="40" t="s">
        <v>142</v>
      </c>
      <c r="B34" s="29">
        <v>46325</v>
      </c>
      <c r="C34" t="s">
        <v>143</v>
      </c>
      <c r="D34" t="str">
        <f>_xlfn.IFNA(VLOOKUP(A34,EST!A:N,14,FALSE),"")</f>
        <v>Manilyn Abellar</v>
      </c>
    </row>
    <row r="35" spans="1:4" x14ac:dyDescent="0.3">
      <c r="A35" s="47" t="s">
        <v>141</v>
      </c>
      <c r="B35" s="29">
        <v>46325</v>
      </c>
      <c r="C35" t="s">
        <v>143</v>
      </c>
      <c r="D35" t="str">
        <f>_xlfn.IFNA(VLOOKUP(A35,EST!A:N,14,FALSE),"")</f>
        <v>Manilyn Abellar</v>
      </c>
    </row>
    <row r="36" spans="1:4" x14ac:dyDescent="0.3">
      <c r="A36" t="s">
        <v>139</v>
      </c>
      <c r="B36" s="29">
        <v>46326</v>
      </c>
      <c r="C36" t="s">
        <v>134</v>
      </c>
      <c r="D36" t="str">
        <f>_xlfn.IFNA(VLOOKUP(A36,EST!A:N,14,FALSE),"")</f>
        <v>Christopher Rodas</v>
      </c>
    </row>
    <row r="37" spans="1:4" x14ac:dyDescent="0.3">
      <c r="A37" s="46" t="s">
        <v>142</v>
      </c>
      <c r="B37" s="29">
        <v>46326</v>
      </c>
      <c r="C37" t="s">
        <v>143</v>
      </c>
      <c r="D37" t="str">
        <f>_xlfn.IFNA(VLOOKUP(A37,EST!A:N,14,FALSE),"")</f>
        <v>Manilyn Abellar</v>
      </c>
    </row>
    <row r="38" spans="1:4" x14ac:dyDescent="0.3">
      <c r="A38" t="s">
        <v>141</v>
      </c>
      <c r="B38" s="29">
        <v>46326</v>
      </c>
      <c r="C38" t="s">
        <v>143</v>
      </c>
      <c r="D38" t="str">
        <f>_xlfn.IFNA(VLOOKUP(A38,EST!A:N,14,FALSE),"")</f>
        <v>Manilyn Abellar</v>
      </c>
    </row>
    <row r="39" spans="1:4" x14ac:dyDescent="0.3">
      <c r="A39" t="s">
        <v>141</v>
      </c>
      <c r="B39" s="29">
        <v>46327</v>
      </c>
      <c r="C39" t="s">
        <v>143</v>
      </c>
      <c r="D39" t="str">
        <f>_xlfn.IFNA(VLOOKUP(A39,EST!A:N,14,FALSE),"")</f>
        <v>Manilyn Abellar</v>
      </c>
    </row>
  </sheetData>
  <autoFilter ref="A1:D1" xr:uid="{7AC4105F-36DE-413B-8CE0-3469CE31C697}">
    <sortState xmlns:xlrd2="http://schemas.microsoft.com/office/spreadsheetml/2017/richdata2" ref="A2:D39">
      <sortCondition ref="B1"/>
    </sortState>
  </autoFilter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9" sqref="A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132</v>
      </c>
      <c r="C1" s="25" t="s">
        <v>133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135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136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137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138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135</v>
      </c>
      <c r="D6" t="str">
        <f>VLOOKUP(A6,EST!A:N,14,FALSE)</f>
        <v>Manilyn Abellar</v>
      </c>
    </row>
    <row r="7" spans="1:4" x14ac:dyDescent="0.3">
      <c r="A7" s="11" t="s">
        <v>120</v>
      </c>
      <c r="B7" s="29">
        <v>46318</v>
      </c>
      <c r="C7" s="27" t="s">
        <v>135</v>
      </c>
      <c r="D7" t="str">
        <f>VLOOKUP(A7,EST!A:N,14,FALSE)</f>
        <v>Anmecha Valencia</v>
      </c>
    </row>
    <row r="8" spans="1:4" x14ac:dyDescent="0.3">
      <c r="A8" s="27" t="s">
        <v>106</v>
      </c>
      <c r="B8" s="29">
        <v>46319</v>
      </c>
      <c r="C8" s="27" t="s">
        <v>135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2026-10-25T00:31:18Z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