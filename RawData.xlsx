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181" documentId="11_94451ABCA0A2D337C40D543FD3FF15B293680652" xr6:coauthVersionLast="47" xr6:coauthVersionMax="47" xr10:uidLastSave="{C6BCAEE8-525F-42D7-A61D-4B0FC2D0B0FD}"/>
  <bookViews>
    <workbookView xWindow="-108" yWindow="-108" windowWidth="23256" windowHeight="13896" activeTab="2" xr2:uid="{75395B83-6453-4C33-8933-D8D7F8DF6F8F}"/>
  </bookViews>
  <sheets>
    <sheet name="EST" sheetId="1" r:id="rId1"/>
    <sheet name="PH" sheetId="4" r:id="rId2"/>
    <sheet name="PTO" sheetId="2" r:id="rId3"/>
    <sheet name="Called OFF" sheetId="3" r:id="rId4"/>
    <sheet name="Notes" sheetId="5" r:id="rId5"/>
  </sheets>
  <definedNames>
    <definedName name="_xlnm._FilterDatabase" localSheetId="0" hidden="1">EST!$A$1:$O$59</definedName>
    <definedName name="_xlnm._FilterDatabase" localSheetId="1" hidden="1">PH!$A$1:$O$61</definedName>
    <definedName name="_xlnm._FilterDatabase" localSheetId="2" hidden="1">PTO!$A$1:$D$1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D2" i="2" l="1"/>
  <c r="C63" i="4"/>
  <c r="I63" i="4" s="1"/>
  <c r="D63" i="4"/>
  <c r="E63" i="4"/>
  <c r="F63" i="4"/>
  <c r="G63" i="4"/>
  <c r="H63" i="4"/>
  <c r="J63" i="4"/>
  <c r="K63" i="4"/>
  <c r="L63" i="4"/>
  <c r="M63" i="4"/>
  <c r="N63" i="4"/>
  <c r="P63" i="4"/>
  <c r="C3" i="4"/>
  <c r="D3" i="4"/>
  <c r="E3" i="4"/>
  <c r="F3" i="4"/>
  <c r="G3" i="4"/>
  <c r="H3" i="4"/>
  <c r="I3" i="4"/>
  <c r="J3" i="4"/>
  <c r="K3" i="4"/>
  <c r="L3" i="4"/>
  <c r="M3" i="4"/>
  <c r="N3" i="4"/>
  <c r="P3" i="4"/>
  <c r="C4" i="4"/>
  <c r="I4" i="4" s="1"/>
  <c r="D4" i="4"/>
  <c r="E4" i="4"/>
  <c r="F4" i="4"/>
  <c r="G4" i="4"/>
  <c r="H4" i="4"/>
  <c r="J4" i="4"/>
  <c r="K4" i="4"/>
  <c r="L4" i="4"/>
  <c r="M4" i="4"/>
  <c r="N4" i="4"/>
  <c r="P4" i="4"/>
  <c r="C5" i="4"/>
  <c r="I5" i="4" s="1"/>
  <c r="D5" i="4"/>
  <c r="E5" i="4"/>
  <c r="F5" i="4"/>
  <c r="G5" i="4"/>
  <c r="H5" i="4"/>
  <c r="J5" i="4"/>
  <c r="K5" i="4"/>
  <c r="L5" i="4"/>
  <c r="M5" i="4"/>
  <c r="N5" i="4"/>
  <c r="P5" i="4"/>
  <c r="C6" i="4"/>
  <c r="I6" i="4" s="1"/>
  <c r="D6" i="4"/>
  <c r="E6" i="4"/>
  <c r="F6" i="4"/>
  <c r="G6" i="4"/>
  <c r="H6" i="4"/>
  <c r="J6" i="4"/>
  <c r="K6" i="4"/>
  <c r="L6" i="4"/>
  <c r="M6" i="4"/>
  <c r="N6" i="4"/>
  <c r="P6" i="4"/>
  <c r="C7" i="4"/>
  <c r="I7" i="4" s="1"/>
  <c r="D7" i="4"/>
  <c r="E7" i="4"/>
  <c r="F7" i="4"/>
  <c r="G7" i="4"/>
  <c r="H7" i="4"/>
  <c r="J7" i="4"/>
  <c r="K7" i="4"/>
  <c r="L7" i="4"/>
  <c r="M7" i="4"/>
  <c r="N7" i="4"/>
  <c r="P7" i="4"/>
  <c r="C8" i="4"/>
  <c r="I8" i="4" s="1"/>
  <c r="D8" i="4"/>
  <c r="E8" i="4"/>
  <c r="F8" i="4"/>
  <c r="G8" i="4"/>
  <c r="H8" i="4"/>
  <c r="J8" i="4"/>
  <c r="K8" i="4"/>
  <c r="L8" i="4"/>
  <c r="M8" i="4"/>
  <c r="N8" i="4"/>
  <c r="P8" i="4"/>
  <c r="C9" i="4"/>
  <c r="I9" i="4" s="1"/>
  <c r="D9" i="4"/>
  <c r="E9" i="4"/>
  <c r="F9" i="4"/>
  <c r="G9" i="4"/>
  <c r="H9" i="4"/>
  <c r="J9" i="4"/>
  <c r="K9" i="4"/>
  <c r="L9" i="4"/>
  <c r="M9" i="4"/>
  <c r="N9" i="4"/>
  <c r="P9" i="4"/>
  <c r="C10" i="4"/>
  <c r="D10" i="4"/>
  <c r="E10" i="4"/>
  <c r="F10" i="4"/>
  <c r="G10" i="4"/>
  <c r="H10" i="4"/>
  <c r="I10" i="4"/>
  <c r="J10" i="4"/>
  <c r="K10" i="4"/>
  <c r="L10" i="4"/>
  <c r="M10" i="4"/>
  <c r="N10" i="4"/>
  <c r="P10" i="4"/>
  <c r="C11" i="4"/>
  <c r="D11" i="4"/>
  <c r="E11" i="4"/>
  <c r="F11" i="4"/>
  <c r="G11" i="4"/>
  <c r="I11" i="4" s="1"/>
  <c r="H11" i="4"/>
  <c r="J11" i="4"/>
  <c r="K11" i="4"/>
  <c r="L11" i="4"/>
  <c r="M11" i="4"/>
  <c r="N11" i="4"/>
  <c r="P11" i="4"/>
  <c r="C12" i="4"/>
  <c r="D12" i="4"/>
  <c r="E12" i="4"/>
  <c r="F12" i="4"/>
  <c r="G12" i="4"/>
  <c r="H12" i="4"/>
  <c r="I12" i="4"/>
  <c r="J12" i="4"/>
  <c r="K12" i="4"/>
  <c r="L12" i="4"/>
  <c r="M12" i="4"/>
  <c r="N12" i="4"/>
  <c r="P12" i="4"/>
  <c r="C13" i="4"/>
  <c r="D13" i="4"/>
  <c r="E13" i="4"/>
  <c r="F13" i="4"/>
  <c r="G13" i="4"/>
  <c r="H13" i="4"/>
  <c r="I13" i="4"/>
  <c r="J13" i="4"/>
  <c r="K13" i="4"/>
  <c r="L13" i="4"/>
  <c r="M13" i="4"/>
  <c r="N13" i="4"/>
  <c r="P13" i="4"/>
  <c r="C14" i="4"/>
  <c r="D14" i="4"/>
  <c r="E14" i="4"/>
  <c r="F14" i="4"/>
  <c r="G14" i="4"/>
  <c r="H14" i="4"/>
  <c r="I14" i="4"/>
  <c r="J14" i="4"/>
  <c r="K14" i="4"/>
  <c r="L14" i="4"/>
  <c r="M14" i="4"/>
  <c r="N14" i="4"/>
  <c r="P14" i="4"/>
  <c r="C15" i="4"/>
  <c r="D15" i="4"/>
  <c r="E15" i="4"/>
  <c r="F15" i="4"/>
  <c r="G15" i="4"/>
  <c r="H15" i="4"/>
  <c r="I15" i="4"/>
  <c r="J15" i="4"/>
  <c r="K15" i="4"/>
  <c r="L15" i="4"/>
  <c r="M15" i="4"/>
  <c r="N15" i="4"/>
  <c r="P15" i="4"/>
  <c r="C16" i="4"/>
  <c r="D16" i="4"/>
  <c r="E16" i="4"/>
  <c r="F16" i="4"/>
  <c r="G16" i="4"/>
  <c r="H16" i="4"/>
  <c r="I16" i="4"/>
  <c r="J16" i="4"/>
  <c r="K16" i="4"/>
  <c r="L16" i="4"/>
  <c r="M16" i="4"/>
  <c r="N16" i="4"/>
  <c r="P16" i="4"/>
  <c r="C17" i="4"/>
  <c r="D17" i="4"/>
  <c r="E17" i="4"/>
  <c r="F17" i="4"/>
  <c r="G17" i="4"/>
  <c r="H17" i="4"/>
  <c r="I17" i="4"/>
  <c r="J17" i="4"/>
  <c r="K17" i="4"/>
  <c r="L17" i="4"/>
  <c r="M17" i="4"/>
  <c r="N17" i="4"/>
  <c r="P17" i="4"/>
  <c r="C18" i="4"/>
  <c r="I18" i="4" s="1"/>
  <c r="D18" i="4"/>
  <c r="E18" i="4"/>
  <c r="F18" i="4"/>
  <c r="G18" i="4"/>
  <c r="H18" i="4"/>
  <c r="J18" i="4"/>
  <c r="K18" i="4"/>
  <c r="L18" i="4"/>
  <c r="M18" i="4"/>
  <c r="N18" i="4"/>
  <c r="P18" i="4"/>
  <c r="C19" i="4"/>
  <c r="I19" i="4" s="1"/>
  <c r="D19" i="4"/>
  <c r="E19" i="4"/>
  <c r="F19" i="4"/>
  <c r="G19" i="4"/>
  <c r="H19" i="4"/>
  <c r="J19" i="4"/>
  <c r="K19" i="4"/>
  <c r="L19" i="4"/>
  <c r="M19" i="4"/>
  <c r="N19" i="4"/>
  <c r="P19" i="4"/>
  <c r="C20" i="4"/>
  <c r="I20" i="4" s="1"/>
  <c r="D20" i="4"/>
  <c r="E20" i="4"/>
  <c r="F20" i="4"/>
  <c r="G20" i="4"/>
  <c r="H20" i="4"/>
  <c r="J20" i="4"/>
  <c r="K20" i="4"/>
  <c r="L20" i="4"/>
  <c r="M20" i="4"/>
  <c r="N20" i="4"/>
  <c r="P20" i="4"/>
  <c r="C21" i="4"/>
  <c r="I21" i="4" s="1"/>
  <c r="D21" i="4"/>
  <c r="E21" i="4"/>
  <c r="F21" i="4"/>
  <c r="G21" i="4"/>
  <c r="H21" i="4"/>
  <c r="J21" i="4"/>
  <c r="K21" i="4"/>
  <c r="L21" i="4"/>
  <c r="M21" i="4"/>
  <c r="N21" i="4"/>
  <c r="P21" i="4"/>
  <c r="C22" i="4"/>
  <c r="I22" i="4" s="1"/>
  <c r="D22" i="4"/>
  <c r="E22" i="4"/>
  <c r="F22" i="4"/>
  <c r="G22" i="4"/>
  <c r="H22" i="4"/>
  <c r="J22" i="4"/>
  <c r="K22" i="4"/>
  <c r="L22" i="4"/>
  <c r="M22" i="4"/>
  <c r="N22" i="4"/>
  <c r="P22" i="4"/>
  <c r="C23" i="4"/>
  <c r="I23" i="4" s="1"/>
  <c r="D23" i="4"/>
  <c r="E23" i="4"/>
  <c r="F23" i="4"/>
  <c r="G23" i="4"/>
  <c r="H23" i="4"/>
  <c r="J23" i="4"/>
  <c r="K23" i="4"/>
  <c r="L23" i="4"/>
  <c r="M23" i="4"/>
  <c r="N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P24" i="4"/>
  <c r="C25" i="4"/>
  <c r="D25" i="4"/>
  <c r="E25" i="4"/>
  <c r="F25" i="4"/>
  <c r="G25" i="4"/>
  <c r="H25" i="4"/>
  <c r="I25" i="4" s="1"/>
  <c r="J25" i="4"/>
  <c r="K25" i="4"/>
  <c r="L25" i="4"/>
  <c r="M25" i="4"/>
  <c r="N25" i="4"/>
  <c r="P25" i="4"/>
  <c r="C26" i="4"/>
  <c r="D26" i="4"/>
  <c r="E26" i="4"/>
  <c r="F26" i="4"/>
  <c r="G26" i="4"/>
  <c r="H26" i="4"/>
  <c r="I26" i="4"/>
  <c r="J26" i="4"/>
  <c r="K26" i="4"/>
  <c r="L26" i="4"/>
  <c r="M26" i="4"/>
  <c r="N26" i="4"/>
  <c r="P26" i="4"/>
  <c r="C27" i="4"/>
  <c r="D27" i="4"/>
  <c r="E27" i="4"/>
  <c r="F27" i="4"/>
  <c r="G27" i="4"/>
  <c r="H27" i="4"/>
  <c r="I27" i="4"/>
  <c r="J27" i="4"/>
  <c r="K27" i="4"/>
  <c r="L27" i="4"/>
  <c r="M27" i="4"/>
  <c r="N27" i="4"/>
  <c r="P27" i="4"/>
  <c r="C28" i="4"/>
  <c r="D28" i="4"/>
  <c r="E28" i="4"/>
  <c r="F28" i="4"/>
  <c r="G28" i="4"/>
  <c r="H28" i="4"/>
  <c r="I28" i="4"/>
  <c r="J28" i="4"/>
  <c r="K28" i="4"/>
  <c r="L28" i="4"/>
  <c r="M28" i="4"/>
  <c r="N28" i="4"/>
  <c r="P28" i="4"/>
  <c r="C29" i="4"/>
  <c r="D29" i="4"/>
  <c r="E29" i="4"/>
  <c r="F29" i="4"/>
  <c r="G29" i="4"/>
  <c r="H29" i="4"/>
  <c r="I29" i="4"/>
  <c r="J29" i="4"/>
  <c r="K29" i="4"/>
  <c r="L29" i="4"/>
  <c r="M29" i="4"/>
  <c r="N29" i="4"/>
  <c r="P29" i="4"/>
  <c r="C30" i="4"/>
  <c r="D30" i="4"/>
  <c r="E30" i="4"/>
  <c r="F30" i="4"/>
  <c r="G30" i="4"/>
  <c r="H30" i="4"/>
  <c r="I30" i="4"/>
  <c r="J30" i="4"/>
  <c r="K30" i="4"/>
  <c r="L30" i="4"/>
  <c r="M30" i="4"/>
  <c r="N30" i="4"/>
  <c r="P30" i="4"/>
  <c r="C31" i="4"/>
  <c r="D31" i="4"/>
  <c r="E31" i="4"/>
  <c r="F31" i="4"/>
  <c r="G31" i="4"/>
  <c r="H31" i="4"/>
  <c r="I31" i="4"/>
  <c r="J31" i="4"/>
  <c r="K31" i="4"/>
  <c r="L31" i="4"/>
  <c r="M31" i="4"/>
  <c r="N31" i="4"/>
  <c r="P31" i="4"/>
  <c r="C32" i="4"/>
  <c r="I32" i="4" s="1"/>
  <c r="D32" i="4"/>
  <c r="E32" i="4"/>
  <c r="F32" i="4"/>
  <c r="G32" i="4"/>
  <c r="H32" i="4"/>
  <c r="J32" i="4"/>
  <c r="K32" i="4"/>
  <c r="L32" i="4"/>
  <c r="M32" i="4"/>
  <c r="N32" i="4"/>
  <c r="P32" i="4"/>
  <c r="C33" i="4"/>
  <c r="I33" i="4" s="1"/>
  <c r="D33" i="4"/>
  <c r="E33" i="4"/>
  <c r="F33" i="4"/>
  <c r="G33" i="4"/>
  <c r="H33" i="4"/>
  <c r="J33" i="4"/>
  <c r="K33" i="4"/>
  <c r="L33" i="4"/>
  <c r="M33" i="4"/>
  <c r="N33" i="4"/>
  <c r="P33" i="4"/>
  <c r="C34" i="4"/>
  <c r="I34" i="4" s="1"/>
  <c r="D34" i="4"/>
  <c r="E34" i="4"/>
  <c r="F34" i="4"/>
  <c r="G34" i="4"/>
  <c r="H34" i="4"/>
  <c r="J34" i="4"/>
  <c r="K34" i="4"/>
  <c r="L34" i="4"/>
  <c r="M34" i="4"/>
  <c r="N34" i="4"/>
  <c r="P34" i="4"/>
  <c r="C35" i="4"/>
  <c r="I35" i="4" s="1"/>
  <c r="D35" i="4"/>
  <c r="E35" i="4"/>
  <c r="F35" i="4"/>
  <c r="G35" i="4"/>
  <c r="H35" i="4"/>
  <c r="J35" i="4"/>
  <c r="K35" i="4"/>
  <c r="L35" i="4"/>
  <c r="M35" i="4"/>
  <c r="N35" i="4"/>
  <c r="P35" i="4"/>
  <c r="C36" i="4"/>
  <c r="I36" i="4" s="1"/>
  <c r="D36" i="4"/>
  <c r="E36" i="4"/>
  <c r="F36" i="4"/>
  <c r="G36" i="4"/>
  <c r="H36" i="4"/>
  <c r="J36" i="4"/>
  <c r="K36" i="4"/>
  <c r="L36" i="4"/>
  <c r="M36" i="4"/>
  <c r="N36" i="4"/>
  <c r="P36" i="4"/>
  <c r="C37" i="4"/>
  <c r="I37" i="4" s="1"/>
  <c r="D37" i="4"/>
  <c r="E37" i="4"/>
  <c r="F37" i="4"/>
  <c r="G37" i="4"/>
  <c r="H37" i="4"/>
  <c r="J37" i="4"/>
  <c r="K37" i="4"/>
  <c r="L37" i="4"/>
  <c r="M37" i="4"/>
  <c r="N37" i="4"/>
  <c r="P37" i="4"/>
  <c r="C38" i="4"/>
  <c r="D38" i="4"/>
  <c r="E38" i="4"/>
  <c r="F38" i="4"/>
  <c r="G38" i="4"/>
  <c r="H38" i="4"/>
  <c r="I38" i="4"/>
  <c r="J38" i="4"/>
  <c r="K38" i="4"/>
  <c r="L38" i="4"/>
  <c r="M38" i="4"/>
  <c r="N38" i="4"/>
  <c r="P38" i="4"/>
  <c r="C39" i="4"/>
  <c r="D39" i="4"/>
  <c r="E39" i="4"/>
  <c r="F39" i="4"/>
  <c r="G39" i="4"/>
  <c r="H39" i="4"/>
  <c r="I39" i="4"/>
  <c r="J39" i="4"/>
  <c r="K39" i="4"/>
  <c r="L39" i="4"/>
  <c r="M39" i="4"/>
  <c r="N39" i="4"/>
  <c r="P39" i="4"/>
  <c r="C40" i="4"/>
  <c r="D40" i="4"/>
  <c r="E40" i="4"/>
  <c r="F40" i="4"/>
  <c r="G40" i="4"/>
  <c r="H40" i="4"/>
  <c r="I40" i="4"/>
  <c r="J40" i="4"/>
  <c r="K40" i="4"/>
  <c r="L40" i="4"/>
  <c r="M40" i="4"/>
  <c r="N40" i="4"/>
  <c r="P40" i="4"/>
  <c r="C41" i="4"/>
  <c r="D41" i="4"/>
  <c r="E41" i="4"/>
  <c r="F41" i="4"/>
  <c r="G41" i="4"/>
  <c r="H41" i="4"/>
  <c r="I41" i="4"/>
  <c r="J41" i="4"/>
  <c r="K41" i="4"/>
  <c r="L41" i="4"/>
  <c r="M41" i="4"/>
  <c r="N41" i="4"/>
  <c r="P41" i="4"/>
  <c r="C42" i="4"/>
  <c r="D42" i="4"/>
  <c r="E42" i="4"/>
  <c r="F42" i="4"/>
  <c r="G42" i="4"/>
  <c r="H42" i="4"/>
  <c r="I42" i="4"/>
  <c r="J42" i="4"/>
  <c r="K42" i="4"/>
  <c r="L42" i="4"/>
  <c r="M42" i="4"/>
  <c r="N42" i="4"/>
  <c r="P42" i="4"/>
  <c r="C43" i="4"/>
  <c r="D43" i="4"/>
  <c r="E43" i="4"/>
  <c r="F43" i="4"/>
  <c r="G43" i="4"/>
  <c r="H43" i="4"/>
  <c r="I43" i="4"/>
  <c r="J43" i="4"/>
  <c r="K43" i="4"/>
  <c r="L43" i="4"/>
  <c r="M43" i="4"/>
  <c r="N43" i="4"/>
  <c r="P43" i="4"/>
  <c r="C44" i="4"/>
  <c r="D44" i="4"/>
  <c r="E44" i="4"/>
  <c r="F44" i="4"/>
  <c r="G44" i="4"/>
  <c r="H44" i="4"/>
  <c r="I44" i="4"/>
  <c r="J44" i="4"/>
  <c r="K44" i="4"/>
  <c r="L44" i="4"/>
  <c r="M44" i="4"/>
  <c r="N44" i="4"/>
  <c r="P44" i="4"/>
  <c r="C45" i="4"/>
  <c r="D45" i="4"/>
  <c r="E45" i="4"/>
  <c r="F45" i="4"/>
  <c r="G45" i="4"/>
  <c r="H45" i="4"/>
  <c r="I45" i="4"/>
  <c r="J45" i="4"/>
  <c r="K45" i="4"/>
  <c r="L45" i="4"/>
  <c r="M45" i="4"/>
  <c r="N45" i="4"/>
  <c r="P45" i="4"/>
  <c r="C46" i="4"/>
  <c r="I46" i="4" s="1"/>
  <c r="D46" i="4"/>
  <c r="E46" i="4"/>
  <c r="F46" i="4"/>
  <c r="G46" i="4"/>
  <c r="H46" i="4"/>
  <c r="J46" i="4"/>
  <c r="K46" i="4"/>
  <c r="L46" i="4"/>
  <c r="M46" i="4"/>
  <c r="N46" i="4"/>
  <c r="P46" i="4"/>
  <c r="C47" i="4"/>
  <c r="I47" i="4" s="1"/>
  <c r="D47" i="4"/>
  <c r="E47" i="4"/>
  <c r="F47" i="4"/>
  <c r="G47" i="4"/>
  <c r="H47" i="4"/>
  <c r="J47" i="4"/>
  <c r="K47" i="4"/>
  <c r="L47" i="4"/>
  <c r="M47" i="4"/>
  <c r="N47" i="4"/>
  <c r="P47" i="4"/>
  <c r="C48" i="4"/>
  <c r="I48" i="4" s="1"/>
  <c r="D48" i="4"/>
  <c r="E48" i="4"/>
  <c r="F48" i="4"/>
  <c r="G48" i="4"/>
  <c r="H48" i="4"/>
  <c r="J48" i="4"/>
  <c r="K48" i="4"/>
  <c r="L48" i="4"/>
  <c r="M48" i="4"/>
  <c r="N48" i="4"/>
  <c r="P48" i="4"/>
  <c r="C49" i="4"/>
  <c r="I49" i="4" s="1"/>
  <c r="D49" i="4"/>
  <c r="E49" i="4"/>
  <c r="F49" i="4"/>
  <c r="G49" i="4"/>
  <c r="H49" i="4"/>
  <c r="J49" i="4"/>
  <c r="K49" i="4"/>
  <c r="L49" i="4"/>
  <c r="M49" i="4"/>
  <c r="N49" i="4"/>
  <c r="P49" i="4"/>
  <c r="C50" i="4"/>
  <c r="I50" i="4" s="1"/>
  <c r="D50" i="4"/>
  <c r="E50" i="4"/>
  <c r="F50" i="4"/>
  <c r="G50" i="4"/>
  <c r="H50" i="4"/>
  <c r="J50" i="4"/>
  <c r="K50" i="4"/>
  <c r="L50" i="4"/>
  <c r="M50" i="4"/>
  <c r="N50" i="4"/>
  <c r="P50" i="4"/>
  <c r="C51" i="4"/>
  <c r="I51" i="4" s="1"/>
  <c r="D51" i="4"/>
  <c r="E51" i="4"/>
  <c r="F51" i="4"/>
  <c r="G51" i="4"/>
  <c r="H51" i="4"/>
  <c r="J51" i="4"/>
  <c r="K51" i="4"/>
  <c r="L51" i="4"/>
  <c r="M51" i="4"/>
  <c r="N51" i="4"/>
  <c r="P51" i="4"/>
  <c r="C52" i="4"/>
  <c r="D52" i="4"/>
  <c r="E52" i="4"/>
  <c r="F52" i="4"/>
  <c r="G52" i="4"/>
  <c r="H52" i="4"/>
  <c r="I52" i="4"/>
  <c r="J52" i="4"/>
  <c r="K52" i="4"/>
  <c r="L52" i="4"/>
  <c r="M52" i="4"/>
  <c r="N52" i="4"/>
  <c r="P52" i="4"/>
  <c r="C53" i="4"/>
  <c r="D53" i="4"/>
  <c r="E53" i="4"/>
  <c r="F53" i="4"/>
  <c r="G53" i="4"/>
  <c r="H53" i="4"/>
  <c r="I53" i="4"/>
  <c r="J53" i="4"/>
  <c r="K53" i="4"/>
  <c r="L53" i="4"/>
  <c r="M53" i="4"/>
  <c r="N53" i="4"/>
  <c r="P53" i="4"/>
  <c r="C54" i="4"/>
  <c r="D54" i="4"/>
  <c r="E54" i="4"/>
  <c r="F54" i="4"/>
  <c r="G54" i="4"/>
  <c r="H54" i="4"/>
  <c r="I54" i="4"/>
  <c r="J54" i="4"/>
  <c r="K54" i="4"/>
  <c r="L54" i="4"/>
  <c r="M54" i="4"/>
  <c r="N54" i="4"/>
  <c r="P54" i="4"/>
  <c r="C55" i="4"/>
  <c r="D55" i="4"/>
  <c r="E55" i="4"/>
  <c r="F55" i="4"/>
  <c r="G55" i="4"/>
  <c r="H55" i="4"/>
  <c r="I55" i="4"/>
  <c r="J55" i="4"/>
  <c r="K55" i="4"/>
  <c r="L55" i="4"/>
  <c r="M55" i="4"/>
  <c r="N55" i="4"/>
  <c r="P55" i="4"/>
  <c r="C56" i="4"/>
  <c r="D56" i="4"/>
  <c r="E56" i="4"/>
  <c r="F56" i="4"/>
  <c r="G56" i="4"/>
  <c r="H56" i="4"/>
  <c r="I56" i="4"/>
  <c r="J56" i="4"/>
  <c r="K56" i="4"/>
  <c r="L56" i="4"/>
  <c r="M56" i="4"/>
  <c r="N56" i="4"/>
  <c r="P56" i="4"/>
  <c r="C57" i="4"/>
  <c r="D57" i="4"/>
  <c r="E57" i="4"/>
  <c r="F57" i="4"/>
  <c r="G57" i="4"/>
  <c r="H57" i="4"/>
  <c r="I57" i="4"/>
  <c r="J57" i="4"/>
  <c r="K57" i="4"/>
  <c r="L57" i="4"/>
  <c r="M57" i="4"/>
  <c r="N57" i="4"/>
  <c r="P57" i="4"/>
  <c r="C58" i="4"/>
  <c r="D58" i="4"/>
  <c r="E58" i="4"/>
  <c r="F58" i="4"/>
  <c r="G58" i="4"/>
  <c r="H58" i="4"/>
  <c r="I58" i="4"/>
  <c r="J58" i="4"/>
  <c r="K58" i="4"/>
  <c r="L58" i="4"/>
  <c r="M58" i="4"/>
  <c r="N58" i="4"/>
  <c r="P58" i="4"/>
  <c r="C59" i="4"/>
  <c r="D59" i="4"/>
  <c r="E59" i="4"/>
  <c r="F59" i="4"/>
  <c r="G59" i="4"/>
  <c r="H59" i="4"/>
  <c r="I59" i="4"/>
  <c r="J59" i="4"/>
  <c r="K59" i="4"/>
  <c r="L59" i="4"/>
  <c r="M59" i="4"/>
  <c r="N59" i="4"/>
  <c r="P59" i="4"/>
  <c r="C60" i="4"/>
  <c r="I60" i="4" s="1"/>
  <c r="D60" i="4"/>
  <c r="E60" i="4"/>
  <c r="F60" i="4"/>
  <c r="G60" i="4"/>
  <c r="H60" i="4"/>
  <c r="J60" i="4"/>
  <c r="K60" i="4"/>
  <c r="L60" i="4"/>
  <c r="M60" i="4"/>
  <c r="N60" i="4"/>
  <c r="P60" i="4"/>
  <c r="C61" i="4"/>
  <c r="I61" i="4" s="1"/>
  <c r="D61" i="4"/>
  <c r="E61" i="4"/>
  <c r="F61" i="4"/>
  <c r="G61" i="4"/>
  <c r="H61" i="4"/>
  <c r="J61" i="4"/>
  <c r="K61" i="4"/>
  <c r="L61" i="4"/>
  <c r="M61" i="4"/>
  <c r="N61" i="4"/>
  <c r="P61" i="4"/>
  <c r="C62" i="4"/>
  <c r="I62" i="4" s="1"/>
  <c r="D62" i="4"/>
  <c r="E62" i="4"/>
  <c r="F62" i="4"/>
  <c r="G62" i="4"/>
  <c r="H62" i="4"/>
  <c r="J62" i="4"/>
  <c r="K62" i="4"/>
  <c r="L62" i="4"/>
  <c r="M62" i="4"/>
  <c r="N62" i="4"/>
  <c r="P62" i="4"/>
  <c r="B63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D12" i="2"/>
  <c r="P61" i="1"/>
  <c r="D14" i="2" l="1"/>
  <c r="D26" i="2"/>
  <c r="D31" i="2"/>
  <c r="D34" i="2"/>
  <c r="D37" i="2"/>
  <c r="D32" i="2"/>
  <c r="D35" i="2"/>
  <c r="D38" i="2"/>
  <c r="D39" i="2"/>
  <c r="D3" i="2"/>
  <c r="D4" i="2"/>
  <c r="D5" i="2"/>
  <c r="D6" i="2"/>
  <c r="D7" i="2"/>
  <c r="D8" i="2"/>
  <c r="D9" i="2"/>
  <c r="D10" i="2"/>
  <c r="D11" i="2"/>
  <c r="D13" i="2"/>
  <c r="D15" i="2"/>
  <c r="D16" i="2"/>
  <c r="D17" i="2"/>
  <c r="D18" i="2"/>
  <c r="D19" i="2"/>
  <c r="D20" i="2"/>
  <c r="D21" i="2"/>
  <c r="D22" i="2"/>
  <c r="D23" i="2"/>
  <c r="D24" i="2"/>
  <c r="D25" i="2"/>
  <c r="D27" i="2"/>
  <c r="D28" i="2"/>
  <c r="D29" i="2"/>
  <c r="D30" i="2"/>
  <c r="D33" i="2"/>
  <c r="D36" i="2"/>
  <c r="D9" i="3"/>
  <c r="D10" i="3"/>
  <c r="D11" i="3"/>
  <c r="D12" i="3"/>
  <c r="D8" i="3"/>
  <c r="D13" i="3"/>
  <c r="D14" i="3"/>
  <c r="D7" i="3"/>
  <c r="D6" i="3"/>
  <c r="P2" i="4"/>
  <c r="P3" i="1" l="1"/>
  <c r="P4" i="1"/>
  <c r="P5" i="1"/>
  <c r="P6" i="1"/>
  <c r="P7" i="1"/>
  <c r="P8" i="1"/>
  <c r="P9" i="1"/>
  <c r="P10" i="1"/>
  <c r="P11" i="1"/>
  <c r="P12" i="1"/>
  <c r="P13" i="1"/>
  <c r="P14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2" i="1"/>
  <c r="D5" i="3"/>
  <c r="N2" i="4"/>
  <c r="M2" i="4"/>
  <c r="L2" i="4"/>
  <c r="K2" i="4"/>
  <c r="J2" i="4"/>
  <c r="A2" i="4"/>
  <c r="D4" i="3"/>
  <c r="D3" i="3"/>
  <c r="D2" i="3"/>
  <c r="H2" i="4" l="1"/>
  <c r="E2" i="4"/>
  <c r="F2" i="4"/>
  <c r="G2" i="4"/>
  <c r="B2" i="4"/>
  <c r="C2" i="4"/>
  <c r="D2" i="4"/>
  <c r="I2" i="4" l="1"/>
</calcChain>
</file>

<file path=xl/sharedStrings.xml><?xml version="1.0" encoding="utf-8"?>
<sst xmlns="http://schemas.openxmlformats.org/spreadsheetml/2006/main" count="878" uniqueCount="203">
  <si>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</si>
  <si>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</si>
  <si>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</si>
  <si>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</si>
  <si>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</si>
  <si>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</si>
  <si>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</si>
  <si>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</si>
  <si>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</si>
  <si>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</si>
  <si>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</si>
  <si>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</si>
  <si>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</si>
  <si>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</si>
  <si>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</si>
  <si>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01:00 - 12:00</t>
  </si>
  <si>
    <t>OFF</t>
  </si>
  <si>
    <t>Wed - Thu - Fri</t>
  </si>
  <si>
    <t>Remmo Panaligan</t>
  </si>
  <si>
    <t>13:00 - 00:00</t>
  </si>
  <si>
    <t>Thu - Fri - Sat</t>
  </si>
  <si>
    <t>08:00 - 19:00</t>
  </si>
  <si>
    <t>Thur - Sat - Sun</t>
  </si>
  <si>
    <t>Manilyn Abellar</t>
  </si>
  <si>
    <t>07:30 - 18:30</t>
  </si>
  <si>
    <t>Fri - Sat - Sun</t>
  </si>
  <si>
    <t>20:00 - 07:00</t>
  </si>
  <si>
    <t>Mon - Tue - Wed</t>
  </si>
  <si>
    <t>Michael Dominguez</t>
  </si>
  <si>
    <t>09:00 - 20:00</t>
  </si>
  <si>
    <t>Sun - Mon - Tue</t>
  </si>
  <si>
    <t>Anmecha Valencia</t>
  </si>
  <si>
    <t>Tue - Wed - Thu</t>
  </si>
  <si>
    <t>Christopher Rodas</t>
  </si>
  <si>
    <t>Tue - Sat - Sun</t>
  </si>
  <si>
    <t>03:00 - 14:00</t>
  </si>
  <si>
    <t>Wed - Sat - Sun</t>
  </si>
  <si>
    <t>Sat - Sun - Mon</t>
  </si>
  <si>
    <t>04:00 - 15:00</t>
  </si>
  <si>
    <t>11:00 - 22:00</t>
  </si>
  <si>
    <t>18:00 - 05:00</t>
  </si>
  <si>
    <t>Wed - Thur - Sat</t>
  </si>
  <si>
    <t>06:00 - 17:00</t>
  </si>
  <si>
    <t>05:00 - 16:00</t>
  </si>
  <si>
    <t>10:00 - 21:00</t>
  </si>
  <si>
    <t>02:00 - 13:00</t>
  </si>
  <si>
    <t>22:00 - 09:00</t>
  </si>
  <si>
    <t>12:00 - 23:00</t>
  </si>
  <si>
    <t>21:00 - 08:00</t>
  </si>
  <si>
    <t>Wed-Thur-Fri</t>
  </si>
  <si>
    <t>21:00 - 8:00</t>
  </si>
  <si>
    <t>Tue - Wed - Sat</t>
  </si>
  <si>
    <t>22:30 - 09:30</t>
  </si>
  <si>
    <t>Thur - Fri - Sun</t>
  </si>
  <si>
    <t>17:00 - 04:00</t>
  </si>
  <si>
    <t>18:30 - 05:30</t>
  </si>
  <si>
    <t>Sun- Mon - Tue</t>
  </si>
  <si>
    <t>Mon-Tue-Wed</t>
  </si>
  <si>
    <t>00:00-11:00</t>
  </si>
  <si>
    <t>Chris Borromeo</t>
  </si>
  <si>
    <t>23:00 - 10:00</t>
  </si>
  <si>
    <t>Mon-Tue-Fri</t>
  </si>
  <si>
    <t>07:00 - 18:00</t>
  </si>
  <si>
    <t>10:30 - 21:30</t>
  </si>
  <si>
    <t>PH SHIFT</t>
  </si>
  <si>
    <t>OFFSET</t>
  </si>
  <si>
    <t>00:00 - 11:00</t>
  </si>
  <si>
    <t>19:00 - 06:00</t>
  </si>
  <si>
    <t>EST Date</t>
  </si>
  <si>
    <t>Reason</t>
  </si>
  <si>
    <t>Called Off</t>
  </si>
  <si>
    <t>Running Late (No ETA)</t>
  </si>
  <si>
    <t>Running Late (ETA : 17:00)</t>
  </si>
  <si>
    <t>Left Early</t>
  </si>
  <si>
    <t>Mon - Tue - Sun</t>
  </si>
  <si>
    <t>Maternity Leave</t>
  </si>
  <si>
    <t>Vacation Leave</t>
  </si>
  <si>
    <t>Aireen Balanon</t>
  </si>
  <si>
    <t>Alec Christian Palabay</t>
  </si>
  <si>
    <t>Andrei Mark Llenos</t>
  </si>
  <si>
    <t>Antonio Agda</t>
  </si>
  <si>
    <t>Aysha Sagira Macalandong</t>
  </si>
  <si>
    <t>Azilean Khrista Almazan</t>
  </si>
  <si>
    <t>Benedict Ermitano</t>
  </si>
  <si>
    <t>Carlos Kiamco</t>
  </si>
  <si>
    <t>Charisse Capuno</t>
  </si>
  <si>
    <t>Chris Paul Dalut</t>
  </si>
  <si>
    <t>Christian Lajera</t>
  </si>
  <si>
    <t>Cleendy Cerilla</t>
  </si>
  <si>
    <t>Cynthia Anosa</t>
  </si>
  <si>
    <t>Dairenn Angel Adarne</t>
  </si>
  <si>
    <t>Dharlyn Grej Estillore</t>
  </si>
  <si>
    <t>Eduardo Jacinto</t>
  </si>
  <si>
    <t>Elijah Jeremy Racca</t>
  </si>
  <si>
    <t>Eljohn Mar Cabalida</t>
  </si>
  <si>
    <t>France Bajao</t>
  </si>
  <si>
    <t>Giselle Florendo</t>
  </si>
  <si>
    <t>Jackyleen Caballero</t>
  </si>
  <si>
    <t>James Kim Malatag</t>
  </si>
  <si>
    <t>James Matthew Santos</t>
  </si>
  <si>
    <t>Jayson Pescadero</t>
  </si>
  <si>
    <t>Jesse Owen Rama</t>
  </si>
  <si>
    <t>Jeycel Roxas</t>
  </si>
  <si>
    <t>Jhanelle Jane Didato</t>
  </si>
  <si>
    <t>Jhonrey Jotojot</t>
  </si>
  <si>
    <t>Jieleen Villegas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</si>
  <si>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</si>
  <si>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</si>
  <si>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</si>
  <si>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</si>
  <si>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</si>
  <si>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</si>
  <si>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</si>
  <si>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</si>
  <si>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</si>
  <si>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</si>
  <si>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</si>
  <si>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</si>
  <si>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</si>
  <si>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Marielle Dakila</t>
  </si>
  <si>
    <t>Marjon Gaebrielle Albay</t>
  </si>
  <si>
    <t>Mary Angelie Fajardo</t>
  </si>
  <si>
    <t>Mary Joy Delos Santos</t>
  </si>
  <si>
    <t>Mhar Anthony Juezan</t>
  </si>
  <si>
    <t>Michelle Corbeta</t>
  </si>
  <si>
    <t>Patricia Gilan Villas</t>
  </si>
  <si>
    <t>Raquela Nicole Lareta</t>
  </si>
  <si>
    <t>Rayniel Ingal</t>
  </si>
  <si>
    <t>Rey Fernandez</t>
  </si>
  <si>
    <t>Rona Rotchel Moniva</t>
  </si>
  <si>
    <t>Roy Sagales</t>
  </si>
  <si>
    <t>Sam Supnet</t>
  </si>
  <si>
    <t>Samantha Yvonne Dela Costa</t>
  </si>
  <si>
    <t>Shiela Mae Laroa</t>
  </si>
  <si>
    <t>William Nava</t>
  </si>
  <si>
    <t>Crisma Vic Melecio</t>
  </si>
  <si>
    <t>Joanah Carl Anoling</t>
  </si>
  <si>
    <t>Mark Raymond Mangaser Jr</t>
  </si>
  <si>
    <t>Pat Marlou Tanola</t>
  </si>
  <si>
    <t>Sean Gabriel Ramirez</t>
  </si>
  <si>
    <t>Cyril Tagalog</t>
  </si>
  <si>
    <t>13:00 - 00:01</t>
  </si>
  <si>
    <t>13:00 - 00:02</t>
  </si>
  <si>
    <t>13:00 - 00:03</t>
  </si>
  <si>
    <t>13:00 - 00:04</t>
  </si>
  <si>
    <t>13:00 - 00:05</t>
  </si>
  <si>
    <t>13:00 - 00:06</t>
  </si>
  <si>
    <t>13:00 - 00:07</t>
  </si>
  <si>
    <t>13:00 - 00:08</t>
  </si>
  <si>
    <t>13:00 - 00:09</t>
  </si>
  <si>
    <t>13:00 - 00:10</t>
  </si>
  <si>
    <t>13:00 - 00:11</t>
  </si>
  <si>
    <t>13:00 - 00:12</t>
  </si>
  <si>
    <t>13:00 - 00:13</t>
  </si>
  <si>
    <t>13:00 - 00:14</t>
  </si>
  <si>
    <t>13:00 - 00:15</t>
  </si>
  <si>
    <t>13:00 - 00:16</t>
  </si>
  <si>
    <t>13:00 - 00:17</t>
  </si>
  <si>
    <t>13:00 - 00:18</t>
  </si>
  <si>
    <t>13:00 - 00:19</t>
  </si>
  <si>
    <t>13:00 - 00:20</t>
  </si>
  <si>
    <t>13:00 - 00:21</t>
  </si>
  <si>
    <t>13:00 - 00:22</t>
  </si>
  <si>
    <t>13:00 - 00:23</t>
  </si>
  <si>
    <t>13:00 - 00:24</t>
  </si>
  <si>
    <t>13:00 - 00:25</t>
  </si>
  <si>
    <t>13:00 - 00:26</t>
  </si>
  <si>
    <t>13:00 - 00:27</t>
  </si>
  <si>
    <t>13:00 - 00:28</t>
  </si>
  <si>
    <t>13:00 - 00:29</t>
  </si>
  <si>
    <t>13:00 - 00:30</t>
  </si>
  <si>
    <t>13:00 - 00:31</t>
  </si>
  <si>
    <t>13:00 - 00:32</t>
  </si>
  <si>
    <t>13:00 - 00:33</t>
  </si>
  <si>
    <t>13:00 - 00:34</t>
  </si>
  <si>
    <t>13:00 - 00:35</t>
  </si>
  <si>
    <t>13:00 - 00:36</t>
  </si>
  <si>
    <t>13:00 - 00:37</t>
  </si>
  <si>
    <t>13:00 - 00:38</t>
  </si>
  <si>
    <t>13:00 - 00:39</t>
  </si>
  <si>
    <t>13:00 - 00:40</t>
  </si>
  <si>
    <t>13:00 - 00:41</t>
  </si>
  <si>
    <t>13:00 - 00:42</t>
  </si>
  <si>
    <t>13:00 - 00:43</t>
  </si>
  <si>
    <t>13:00 - 00:44</t>
  </si>
  <si>
    <t>13:00 - 00:45</t>
  </si>
  <si>
    <t>13:00 - 00:46</t>
  </si>
  <si>
    <t>13:00 - 00:47</t>
  </si>
  <si>
    <t>13:00 - 00:48</t>
  </si>
  <si>
    <t>13:00 - 00:49</t>
  </si>
  <si>
    <t>13:00 - 00:50</t>
  </si>
  <si>
    <t>13:00 - 00:51</t>
  </si>
  <si>
    <t>13:00 - 00:52</t>
  </si>
  <si>
    <t>13:00 - 00:53</t>
  </si>
  <si>
    <t>13:00 - 00:54</t>
  </si>
  <si>
    <t>13:00 - 00:55</t>
  </si>
  <si>
    <t>13:00 - 00:56</t>
  </si>
  <si>
    <t>13:00 - 00:57</t>
  </si>
  <si>
    <t>13:00 - 00:58</t>
  </si>
  <si>
    <t>13:00 - 00:59</t>
  </si>
  <si>
    <t>13:00 - 00:60</t>
  </si>
  <si>
    <t>13:00 - 00:61</t>
  </si>
  <si>
    <t>Jeffryl Joe Pardillo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</si>
</sst>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9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FB11"/>
        <bgColor rgb="FF000000"/>
      </patternFill>
    </fill>
    <fill>
      <patternFill patternType="solid">
        <fgColor rgb="FFA6A6A6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  <xf numFmtId="0" fontId="7" fillId="7" borderId="7" xfId="0" applyFont="1" applyFill="1" applyBorder="1"/>
    <xf numFmtId="0" fontId="7" fillId="7" borderId="0" xfId="0" applyFont="1" applyFill="1"/>
    <xf numFmtId="0" fontId="0" fillId="0" borderId="7" xfId="0" applyBorder="1"/>
    <xf numFmtId="0" fontId="0" fillId="0" borderId="1" xfId="0" applyBorder="1"/>
    <xf numFmtId="0" fontId="1" fillId="2" borderId="0" xfId="0" applyFont="1" applyFill="1"/>
    <xf numFmtId="0" fontId="7" fillId="7" borderId="1" xfId="0" applyFont="1" applyFill="1" applyBorder="1"/>
    <xf numFmtId="0" fontId="1" fillId="0" borderId="0" xfId="0" applyFont="1"/>
    <xf numFmtId="0" fontId="0" fillId="0" borderId="4" xfId="0" applyBorder="1"/>
    <xf numFmtId="0" fontId="2" fillId="8" borderId="1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0" fillId="0" borderId="2" xfId="0" applyBorder="1"/>
    <xf numFmtId="20" fontId="2" fillId="7" borderId="1" xfId="0" applyNumberFormat="1" applyFont="1" applyFill="1" applyBorder="1" applyAlignment="1">
      <alignment horizontal="center"/>
    </xf>
    <xf numFmtId="20" fontId="2" fillId="2" borderId="0" xfId="0" applyNumberFormat="1" applyFont="1" applyFill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</cellXfs>
  <cellStyles count="1">
    <cellStyle name="Normal" xfId="0" builtinId="0"/>
  </cellStyles>
  <dxfs count="8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P66"/>
  <sheetViews>
    <sheetView zoomScaleNormal="100" workbookViewId="0">
      <pane ySplit="1" topLeftCell="A24" activePane="bottomLeft" state="frozen"/>
      <selection pane="bottomLeft" activeCell="A49" sqref="A49"/>
    </sheetView>
  </sheetViews>
  <sheetFormatPr defaultRowHeight="14.4" x14ac:dyDescent="0.3"/>
  <cols>
    <col min="1" max="1" width="22.21875" customWidth="1"/>
    <col min="2" max="8" width="11.44140625" customWidth="1"/>
    <col min="9" max="9" width="13.6640625" customWidth="1"/>
    <col min="10" max="11" width="7.109375" customWidth="1"/>
    <col min="12" max="12" width="5.88671875" customWidth="1"/>
    <col min="13" max="13" width="7.109375" customWidth="1"/>
    <col min="14" max="14" width="17.33203125" customWidth="1"/>
    <col min="15" max="15" width="11.6640625" customWidth="1"/>
    <col min="16" max="16" width="7.109375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</row>
    <row r="2" spans="1:16" x14ac:dyDescent="0.3">
      <c r="A2" s="16" t="s">
        <v>77</v>
      </c>
      <c r="B2" s="17" t="s">
        <v>15</v>
      </c>
      <c r="C2" s="17" t="s">
        <v>15</v>
      </c>
      <c r="D2" s="17" t="s">
        <v>16</v>
      </c>
      <c r="E2" s="17" t="s">
        <v>16</v>
      </c>
      <c r="F2" s="17" t="s">
        <v>16</v>
      </c>
      <c r="G2" s="17" t="s">
        <v>15</v>
      </c>
      <c r="H2" s="17" t="s">
        <v>15</v>
      </c>
      <c r="I2" s="18" t="s">
        <v>17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18</v>
      </c>
      <c r="O2" s="17" t="s">
        <v>15</v>
      </c>
      <c r="P2">
        <f t="shared" ref="P2:P33" si="0">IF(O2="OFF",0,
IF(VALUE(LEFT(O2,2))&lt;12,0,1))</f>
        <v>0</v>
      </c>
    </row>
    <row r="3" spans="1:16" x14ac:dyDescent="0.3">
      <c r="A3" s="10" t="s">
        <v>78</v>
      </c>
      <c r="B3" s="1" t="s">
        <v>19</v>
      </c>
      <c r="C3" s="1" t="s">
        <v>19</v>
      </c>
      <c r="D3" s="1" t="s">
        <v>19</v>
      </c>
      <c r="E3" s="1" t="s">
        <v>16</v>
      </c>
      <c r="F3" s="1" t="s">
        <v>16</v>
      </c>
      <c r="G3" s="1" t="s">
        <v>16</v>
      </c>
      <c r="H3" s="1" t="s">
        <v>19</v>
      </c>
      <c r="I3" s="2" t="s">
        <v>20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18</v>
      </c>
      <c r="O3" s="1" t="s">
        <v>19</v>
      </c>
      <c r="P3">
        <f t="shared" si="0"/>
        <v>1</v>
      </c>
    </row>
    <row r="4" spans="1:16" x14ac:dyDescent="0.3">
      <c r="A4" s="16" t="s">
        <v>79</v>
      </c>
      <c r="B4" s="17" t="s">
        <v>21</v>
      </c>
      <c r="C4" s="17" t="s">
        <v>21</v>
      </c>
      <c r="D4" s="17" t="s">
        <v>21</v>
      </c>
      <c r="E4" s="17" t="s">
        <v>16</v>
      </c>
      <c r="F4" s="17" t="s">
        <v>21</v>
      </c>
      <c r="G4" s="17" t="s">
        <v>16</v>
      </c>
      <c r="H4" s="17" t="s">
        <v>16</v>
      </c>
      <c r="I4" s="18" t="s">
        <v>22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23</v>
      </c>
      <c r="O4" s="17" t="s">
        <v>21</v>
      </c>
      <c r="P4">
        <f t="shared" si="0"/>
        <v>0</v>
      </c>
    </row>
    <row r="5" spans="1:16" x14ac:dyDescent="0.3">
      <c r="A5" s="11" t="s">
        <v>80</v>
      </c>
      <c r="B5" s="5" t="s">
        <v>24</v>
      </c>
      <c r="C5" s="5" t="s">
        <v>24</v>
      </c>
      <c r="D5" s="5" t="s">
        <v>24</v>
      </c>
      <c r="E5" s="5" t="s">
        <v>24</v>
      </c>
      <c r="F5" s="5" t="s">
        <v>16</v>
      </c>
      <c r="G5" s="5" t="s">
        <v>16</v>
      </c>
      <c r="H5" s="5" t="s">
        <v>16</v>
      </c>
      <c r="I5" s="6" t="s">
        <v>25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23</v>
      </c>
      <c r="O5" s="5" t="s">
        <v>24</v>
      </c>
      <c r="P5">
        <f t="shared" si="0"/>
        <v>0</v>
      </c>
    </row>
    <row r="6" spans="1:16" x14ac:dyDescent="0.3">
      <c r="A6" s="16" t="s">
        <v>81</v>
      </c>
      <c r="B6" s="17" t="s">
        <v>16</v>
      </c>
      <c r="C6" s="17" t="s">
        <v>16</v>
      </c>
      <c r="D6" s="17" t="s">
        <v>16</v>
      </c>
      <c r="E6" s="23" t="s">
        <v>26</v>
      </c>
      <c r="F6" s="23" t="s">
        <v>26</v>
      </c>
      <c r="G6" s="23" t="s">
        <v>26</v>
      </c>
      <c r="H6" s="23" t="s">
        <v>26</v>
      </c>
      <c r="I6" s="18" t="s">
        <v>27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28</v>
      </c>
      <c r="O6" s="23" t="s">
        <v>26</v>
      </c>
      <c r="P6">
        <f t="shared" si="0"/>
        <v>1</v>
      </c>
    </row>
    <row r="7" spans="1:16" s="35" customFormat="1" x14ac:dyDescent="0.3">
      <c r="A7" s="30" t="s">
        <v>82</v>
      </c>
      <c r="B7" s="31" t="s">
        <v>29</v>
      </c>
      <c r="C7" s="31" t="s">
        <v>29</v>
      </c>
      <c r="D7" s="31" t="s">
        <v>16</v>
      </c>
      <c r="E7" s="31" t="s">
        <v>16</v>
      </c>
      <c r="F7" s="31" t="s">
        <v>29</v>
      </c>
      <c r="G7" s="31" t="s">
        <v>29</v>
      </c>
      <c r="H7" s="31" t="s">
        <v>16</v>
      </c>
      <c r="I7" s="32" t="s">
        <v>30</v>
      </c>
      <c r="J7" s="33">
        <v>0.45833333333333331</v>
      </c>
      <c r="K7" s="33">
        <v>0.55208333333333337</v>
      </c>
      <c r="L7" s="33">
        <v>0.6875</v>
      </c>
      <c r="M7" s="33">
        <v>0.78125</v>
      </c>
      <c r="N7" s="34" t="s">
        <v>31</v>
      </c>
      <c r="O7" s="31" t="s">
        <v>29</v>
      </c>
      <c r="P7">
        <f t="shared" si="0"/>
        <v>0</v>
      </c>
    </row>
    <row r="8" spans="1:16" x14ac:dyDescent="0.3">
      <c r="A8" s="16" t="s">
        <v>83</v>
      </c>
      <c r="B8" s="17" t="s">
        <v>29</v>
      </c>
      <c r="C8" s="17" t="s">
        <v>29</v>
      </c>
      <c r="D8" s="17" t="s">
        <v>29</v>
      </c>
      <c r="E8" s="17" t="s">
        <v>16</v>
      </c>
      <c r="F8" s="17" t="s">
        <v>29</v>
      </c>
      <c r="G8" s="17" t="s">
        <v>16</v>
      </c>
      <c r="H8" s="17" t="s">
        <v>16</v>
      </c>
      <c r="I8" s="18" t="s">
        <v>22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28</v>
      </c>
      <c r="O8" s="17" t="s">
        <v>29</v>
      </c>
      <c r="P8">
        <f t="shared" si="0"/>
        <v>0</v>
      </c>
    </row>
    <row r="9" spans="1:16" x14ac:dyDescent="0.3">
      <c r="A9" s="10" t="s">
        <v>84</v>
      </c>
      <c r="B9" s="1" t="s">
        <v>29</v>
      </c>
      <c r="C9" s="1" t="s">
        <v>16</v>
      </c>
      <c r="D9" s="1" t="s">
        <v>16</v>
      </c>
      <c r="E9" s="1" t="s">
        <v>16</v>
      </c>
      <c r="F9" s="1" t="s">
        <v>29</v>
      </c>
      <c r="G9" s="1" t="s">
        <v>29</v>
      </c>
      <c r="H9" s="1" t="s">
        <v>29</v>
      </c>
      <c r="I9" s="2" t="s">
        <v>32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33</v>
      </c>
      <c r="O9" s="1" t="s">
        <v>29</v>
      </c>
      <c r="P9">
        <f t="shared" si="0"/>
        <v>0</v>
      </c>
    </row>
    <row r="10" spans="1:16" x14ac:dyDescent="0.3">
      <c r="A10" s="11" t="s">
        <v>85</v>
      </c>
      <c r="B10" s="5" t="s">
        <v>29</v>
      </c>
      <c r="C10" s="5" t="s">
        <v>16</v>
      </c>
      <c r="D10" s="5" t="s">
        <v>29</v>
      </c>
      <c r="E10" s="5" t="s">
        <v>29</v>
      </c>
      <c r="F10" s="5" t="s">
        <v>29</v>
      </c>
      <c r="G10" s="5" t="s">
        <v>16</v>
      </c>
      <c r="H10" s="5" t="s">
        <v>16</v>
      </c>
      <c r="I10" s="6" t="s">
        <v>34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31</v>
      </c>
      <c r="O10" s="5" t="s">
        <v>29</v>
      </c>
      <c r="P10">
        <f t="shared" si="0"/>
        <v>0</v>
      </c>
    </row>
    <row r="11" spans="1:16" x14ac:dyDescent="0.3">
      <c r="A11" s="10" t="s">
        <v>86</v>
      </c>
      <c r="B11" s="1" t="s">
        <v>35</v>
      </c>
      <c r="C11" s="1" t="s">
        <v>35</v>
      </c>
      <c r="D11" s="1" t="s">
        <v>16</v>
      </c>
      <c r="E11" s="1" t="s">
        <v>35</v>
      </c>
      <c r="F11" s="1" t="s">
        <v>35</v>
      </c>
      <c r="G11" s="1" t="s">
        <v>16</v>
      </c>
      <c r="H11" s="1" t="s">
        <v>16</v>
      </c>
      <c r="I11" s="2" t="s">
        <v>36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31</v>
      </c>
      <c r="O11" s="1" t="s">
        <v>35</v>
      </c>
      <c r="P11">
        <f t="shared" si="0"/>
        <v>0</v>
      </c>
    </row>
    <row r="12" spans="1:16" x14ac:dyDescent="0.3">
      <c r="A12" s="16" t="s">
        <v>87</v>
      </c>
      <c r="B12" s="17" t="s">
        <v>16</v>
      </c>
      <c r="C12" s="17" t="s">
        <v>29</v>
      </c>
      <c r="D12" s="17" t="s">
        <v>29</v>
      </c>
      <c r="E12" s="17" t="s">
        <v>29</v>
      </c>
      <c r="F12" s="17" t="s">
        <v>29</v>
      </c>
      <c r="G12" s="17" t="s">
        <v>16</v>
      </c>
      <c r="H12" s="17" t="s">
        <v>16</v>
      </c>
      <c r="I12" s="18" t="s">
        <v>37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28</v>
      </c>
      <c r="O12" s="17" t="s">
        <v>29</v>
      </c>
      <c r="P12">
        <f t="shared" si="0"/>
        <v>0</v>
      </c>
    </row>
    <row r="13" spans="1:16" x14ac:dyDescent="0.3">
      <c r="A13" s="10" t="s">
        <v>88</v>
      </c>
      <c r="B13" s="1" t="s">
        <v>24</v>
      </c>
      <c r="C13" s="1" t="s">
        <v>24</v>
      </c>
      <c r="D13" s="1" t="s">
        <v>24</v>
      </c>
      <c r="E13" s="1" t="s">
        <v>24</v>
      </c>
      <c r="F13" s="1" t="s">
        <v>16</v>
      </c>
      <c r="G13" s="1" t="s">
        <v>16</v>
      </c>
      <c r="H13" s="1" t="s">
        <v>16</v>
      </c>
      <c r="I13" s="2" t="s">
        <v>25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33</v>
      </c>
      <c r="O13" s="1" t="s">
        <v>24</v>
      </c>
      <c r="P13">
        <f t="shared" si="0"/>
        <v>0</v>
      </c>
    </row>
    <row r="14" spans="1:16" x14ac:dyDescent="0.3">
      <c r="A14" s="42" t="s">
        <v>135</v>
      </c>
      <c r="B14" s="47" t="s">
        <v>16</v>
      </c>
      <c r="C14" s="47" t="s">
        <v>16</v>
      </c>
      <c r="D14" s="47" t="s">
        <v>16</v>
      </c>
      <c r="E14" s="49" t="s">
        <v>67</v>
      </c>
      <c r="F14" s="49" t="s">
        <v>67</v>
      </c>
      <c r="G14" s="49" t="s">
        <v>67</v>
      </c>
      <c r="H14" s="49" t="s">
        <v>67</v>
      </c>
      <c r="I14" s="50" t="s">
        <v>27</v>
      </c>
      <c r="J14" s="52">
        <v>0.875</v>
      </c>
      <c r="K14" s="52">
        <v>0.95833333333333337</v>
      </c>
      <c r="L14" s="52">
        <v>6.25E-2</v>
      </c>
      <c r="M14" s="52">
        <v>0.1875</v>
      </c>
      <c r="N14" s="54" t="s">
        <v>23</v>
      </c>
      <c r="O14" s="49" t="s">
        <v>67</v>
      </c>
      <c r="P14">
        <f t="shared" si="0"/>
        <v>1</v>
      </c>
    </row>
    <row r="15" spans="1:16" x14ac:dyDescent="0.3">
      <c r="A15" s="45" t="s">
        <v>89</v>
      </c>
      <c r="B15" s="1" t="s">
        <v>16</v>
      </c>
      <c r="C15" s="1" t="s">
        <v>38</v>
      </c>
      <c r="D15" s="1" t="s">
        <v>38</v>
      </c>
      <c r="E15" s="1" t="s">
        <v>38</v>
      </c>
      <c r="F15" s="1" t="s">
        <v>38</v>
      </c>
      <c r="G15" s="1" t="s">
        <v>16</v>
      </c>
      <c r="H15" s="1" t="s">
        <v>16</v>
      </c>
      <c r="I15" s="2" t="s">
        <v>25</v>
      </c>
      <c r="J15" s="3">
        <v>0.23958333333333334</v>
      </c>
      <c r="K15" s="3">
        <v>0.52083333333333337</v>
      </c>
      <c r="L15" s="3">
        <v>0.35416666666666669</v>
      </c>
      <c r="M15" s="3">
        <v>0.58333333333333337</v>
      </c>
      <c r="N15" s="4" t="s">
        <v>23</v>
      </c>
      <c r="O15" s="1" t="s">
        <v>38</v>
      </c>
    </row>
    <row r="16" spans="1:16" x14ac:dyDescent="0.3">
      <c r="A16" s="16" t="s">
        <v>90</v>
      </c>
      <c r="B16" s="17" t="s">
        <v>21</v>
      </c>
      <c r="C16" s="17" t="s">
        <v>16</v>
      </c>
      <c r="D16" s="17" t="s">
        <v>16</v>
      </c>
      <c r="E16" s="17" t="s">
        <v>16</v>
      </c>
      <c r="F16" s="17" t="s">
        <v>21</v>
      </c>
      <c r="G16" s="17" t="s">
        <v>21</v>
      </c>
      <c r="H16" s="17" t="s">
        <v>21</v>
      </c>
      <c r="I16" s="18" t="s">
        <v>32</v>
      </c>
      <c r="J16" s="21">
        <v>0.4375</v>
      </c>
      <c r="K16" s="21">
        <v>0.64583333333333337</v>
      </c>
      <c r="L16" s="21">
        <v>0.52083333333333337</v>
      </c>
      <c r="M16" s="21">
        <v>0.75</v>
      </c>
      <c r="N16" s="22" t="s">
        <v>23</v>
      </c>
      <c r="O16" s="17" t="s">
        <v>21</v>
      </c>
      <c r="P16">
        <f t="shared" si="0"/>
        <v>0</v>
      </c>
    </row>
    <row r="17" spans="1:16" x14ac:dyDescent="0.3">
      <c r="A17" s="11" t="s">
        <v>91</v>
      </c>
      <c r="B17" s="5" t="s">
        <v>39</v>
      </c>
      <c r="C17" s="5" t="s">
        <v>39</v>
      </c>
      <c r="D17" s="5" t="s">
        <v>39</v>
      </c>
      <c r="E17" s="5" t="s">
        <v>39</v>
      </c>
      <c r="F17" s="5" t="s">
        <v>16</v>
      </c>
      <c r="G17" s="5" t="s">
        <v>16</v>
      </c>
      <c r="H17" s="5" t="s">
        <v>16</v>
      </c>
      <c r="I17" s="6" t="s">
        <v>25</v>
      </c>
      <c r="J17" s="7">
        <v>0.54166666666666663</v>
      </c>
      <c r="K17" s="7">
        <v>0.63541666666666663</v>
      </c>
      <c r="L17" s="7">
        <v>0.72916666666666663</v>
      </c>
      <c r="M17" s="7">
        <v>0.85416666666666663</v>
      </c>
      <c r="N17" s="8" t="s">
        <v>31</v>
      </c>
      <c r="O17" s="5" t="s">
        <v>39</v>
      </c>
      <c r="P17">
        <f t="shared" si="0"/>
        <v>0</v>
      </c>
    </row>
    <row r="18" spans="1:16" x14ac:dyDescent="0.3">
      <c r="A18" s="11" t="s">
        <v>92</v>
      </c>
      <c r="B18" s="5" t="s">
        <v>29</v>
      </c>
      <c r="C18" s="5" t="s">
        <v>29</v>
      </c>
      <c r="D18" s="5" t="s">
        <v>29</v>
      </c>
      <c r="E18" s="5" t="s">
        <v>16</v>
      </c>
      <c r="F18" s="5" t="s">
        <v>29</v>
      </c>
      <c r="G18" s="5" t="s">
        <v>16</v>
      </c>
      <c r="H18" s="5" t="s">
        <v>16</v>
      </c>
      <c r="I18" s="6" t="s">
        <v>22</v>
      </c>
      <c r="J18" s="7">
        <v>0.45833333333333331</v>
      </c>
      <c r="K18" s="7">
        <v>0.57291666666666663</v>
      </c>
      <c r="L18" s="7">
        <v>0.64583333333333337</v>
      </c>
      <c r="M18" s="7">
        <v>0.77083333333333337</v>
      </c>
      <c r="N18" s="8" t="s">
        <v>31</v>
      </c>
      <c r="O18" s="5" t="s">
        <v>29</v>
      </c>
      <c r="P18">
        <f t="shared" si="0"/>
        <v>0</v>
      </c>
    </row>
    <row r="19" spans="1:16" x14ac:dyDescent="0.3">
      <c r="A19" s="11" t="s">
        <v>93</v>
      </c>
      <c r="B19" s="5" t="s">
        <v>29</v>
      </c>
      <c r="C19" s="5" t="s">
        <v>29</v>
      </c>
      <c r="D19" s="5" t="s">
        <v>16</v>
      </c>
      <c r="E19" s="5" t="s">
        <v>29</v>
      </c>
      <c r="F19" s="5" t="s">
        <v>29</v>
      </c>
      <c r="G19" s="5" t="s">
        <v>16</v>
      </c>
      <c r="H19" s="5" t="s">
        <v>16</v>
      </c>
      <c r="I19" s="6" t="s">
        <v>36</v>
      </c>
      <c r="J19" s="7">
        <v>0.48958333333333331</v>
      </c>
      <c r="K19" s="7">
        <v>0.57291666666666663</v>
      </c>
      <c r="L19" s="7">
        <v>0.66666666666666663</v>
      </c>
      <c r="M19" s="7">
        <v>0.75</v>
      </c>
      <c r="N19" s="8" t="s">
        <v>31</v>
      </c>
      <c r="O19" s="5" t="s">
        <v>29</v>
      </c>
      <c r="P19">
        <f t="shared" si="0"/>
        <v>0</v>
      </c>
    </row>
    <row r="20" spans="1:16" x14ac:dyDescent="0.3">
      <c r="A20" s="11" t="s">
        <v>94</v>
      </c>
      <c r="B20" s="5" t="s">
        <v>21</v>
      </c>
      <c r="C20" s="5" t="s">
        <v>21</v>
      </c>
      <c r="D20" s="5" t="s">
        <v>16</v>
      </c>
      <c r="E20" s="5" t="s">
        <v>21</v>
      </c>
      <c r="F20" s="5" t="s">
        <v>21</v>
      </c>
      <c r="G20" s="5" t="s">
        <v>16</v>
      </c>
      <c r="H20" s="5" t="s">
        <v>16</v>
      </c>
      <c r="I20" s="6" t="s">
        <v>36</v>
      </c>
      <c r="J20" s="7">
        <v>0.4375</v>
      </c>
      <c r="K20" s="7">
        <v>0.65625</v>
      </c>
      <c r="L20" s="7">
        <v>0.53125</v>
      </c>
      <c r="M20" s="7">
        <v>0.75</v>
      </c>
      <c r="N20" s="8" t="s">
        <v>28</v>
      </c>
      <c r="O20" s="5" t="s">
        <v>21</v>
      </c>
      <c r="P20">
        <f t="shared" si="0"/>
        <v>0</v>
      </c>
    </row>
    <row r="21" spans="1:16" x14ac:dyDescent="0.3">
      <c r="A21" s="16" t="s">
        <v>95</v>
      </c>
      <c r="B21" s="17" t="s">
        <v>40</v>
      </c>
      <c r="C21" s="17" t="s">
        <v>40</v>
      </c>
      <c r="D21" s="17" t="s">
        <v>16</v>
      </c>
      <c r="E21" s="17" t="s">
        <v>16</v>
      </c>
      <c r="F21" s="17" t="s">
        <v>40</v>
      </c>
      <c r="G21" s="17" t="s">
        <v>16</v>
      </c>
      <c r="H21" s="17" t="s">
        <v>40</v>
      </c>
      <c r="I21" s="18" t="s">
        <v>41</v>
      </c>
      <c r="J21" s="21">
        <v>0.89583333333333337</v>
      </c>
      <c r="K21" s="21">
        <v>0.10416666666666667</v>
      </c>
      <c r="L21" s="21">
        <v>0.97916666666666663</v>
      </c>
      <c r="M21" s="21">
        <v>0.1875</v>
      </c>
      <c r="N21" s="22" t="s">
        <v>33</v>
      </c>
      <c r="O21" s="17" t="s">
        <v>40</v>
      </c>
      <c r="P21">
        <f t="shared" si="0"/>
        <v>1</v>
      </c>
    </row>
    <row r="22" spans="1:16" x14ac:dyDescent="0.3">
      <c r="A22" s="10" t="s">
        <v>96</v>
      </c>
      <c r="B22" s="1" t="s">
        <v>42</v>
      </c>
      <c r="C22" s="1" t="s">
        <v>42</v>
      </c>
      <c r="D22" s="1" t="s">
        <v>42</v>
      </c>
      <c r="E22" s="1" t="s">
        <v>42</v>
      </c>
      <c r="F22" s="1" t="s">
        <v>16</v>
      </c>
      <c r="G22" s="1" t="s">
        <v>16</v>
      </c>
      <c r="H22" s="1" t="s">
        <v>16</v>
      </c>
      <c r="I22" s="1" t="s">
        <v>25</v>
      </c>
      <c r="J22" s="3">
        <v>0.34375</v>
      </c>
      <c r="K22" s="3">
        <v>0.5625</v>
      </c>
      <c r="L22" s="3">
        <v>0.4375</v>
      </c>
      <c r="M22" s="3">
        <v>0.65625</v>
      </c>
      <c r="N22" s="12" t="s">
        <v>18</v>
      </c>
      <c r="O22" s="1" t="s">
        <v>42</v>
      </c>
      <c r="P22">
        <f t="shared" si="0"/>
        <v>0</v>
      </c>
    </row>
    <row r="23" spans="1:16" x14ac:dyDescent="0.3">
      <c r="A23" s="16" t="s">
        <v>97</v>
      </c>
      <c r="B23" s="17" t="s">
        <v>43</v>
      </c>
      <c r="C23" s="17" t="s">
        <v>43</v>
      </c>
      <c r="D23" s="17" t="s">
        <v>43</v>
      </c>
      <c r="E23" s="17" t="s">
        <v>16</v>
      </c>
      <c r="F23" s="17" t="s">
        <v>16</v>
      </c>
      <c r="G23" s="17" t="s">
        <v>16</v>
      </c>
      <c r="H23" s="17" t="s">
        <v>43</v>
      </c>
      <c r="I23" s="18" t="s">
        <v>20</v>
      </c>
      <c r="J23" s="21">
        <v>0.30208333333333331</v>
      </c>
      <c r="K23" s="21">
        <v>0.54166666666666663</v>
      </c>
      <c r="L23" s="21">
        <v>0.41666666666666669</v>
      </c>
      <c r="M23" s="21">
        <v>0.64583333333333337</v>
      </c>
      <c r="N23" s="22" t="s">
        <v>33</v>
      </c>
      <c r="O23" s="17" t="s">
        <v>43</v>
      </c>
      <c r="P23">
        <f t="shared" si="0"/>
        <v>0</v>
      </c>
    </row>
    <row r="24" spans="1:16" x14ac:dyDescent="0.3">
      <c r="A24" s="11" t="s">
        <v>98</v>
      </c>
      <c r="B24" s="5" t="s">
        <v>44</v>
      </c>
      <c r="C24" s="5" t="s">
        <v>44</v>
      </c>
      <c r="D24" s="5" t="s">
        <v>44</v>
      </c>
      <c r="E24" s="5" t="s">
        <v>44</v>
      </c>
      <c r="F24" s="5" t="s">
        <v>16</v>
      </c>
      <c r="G24" s="5" t="s">
        <v>16</v>
      </c>
      <c r="H24" s="5" t="s">
        <v>16</v>
      </c>
      <c r="I24" s="6" t="s">
        <v>25</v>
      </c>
      <c r="J24" s="7">
        <v>0.51041666666666663</v>
      </c>
      <c r="K24" s="7">
        <v>0.59375</v>
      </c>
      <c r="L24" s="7">
        <v>0.6875</v>
      </c>
      <c r="M24" s="7">
        <v>0.8125</v>
      </c>
      <c r="N24" s="8" t="s">
        <v>28</v>
      </c>
      <c r="O24" s="5" t="s">
        <v>44</v>
      </c>
      <c r="P24">
        <f t="shared" si="0"/>
        <v>0</v>
      </c>
    </row>
    <row r="25" spans="1:16" x14ac:dyDescent="0.3">
      <c r="A25" s="11" t="s">
        <v>99</v>
      </c>
      <c r="B25" s="5" t="s">
        <v>21</v>
      </c>
      <c r="C25" s="5" t="s">
        <v>21</v>
      </c>
      <c r="D25" s="5" t="s">
        <v>16</v>
      </c>
      <c r="E25" s="5" t="s">
        <v>21</v>
      </c>
      <c r="F25" s="5" t="s">
        <v>21</v>
      </c>
      <c r="G25" s="5" t="s">
        <v>16</v>
      </c>
      <c r="H25" s="5" t="s">
        <v>16</v>
      </c>
      <c r="I25" s="6" t="s">
        <v>36</v>
      </c>
      <c r="J25" s="7">
        <v>0.42708333333333331</v>
      </c>
      <c r="K25" s="7">
        <v>0.65625</v>
      </c>
      <c r="L25" s="7">
        <v>0.53125</v>
      </c>
      <c r="M25" s="7">
        <v>0.75</v>
      </c>
      <c r="N25" s="8" t="s">
        <v>18</v>
      </c>
      <c r="O25" s="5" t="s">
        <v>21</v>
      </c>
      <c r="P25">
        <f t="shared" si="0"/>
        <v>0</v>
      </c>
    </row>
    <row r="26" spans="1:16" x14ac:dyDescent="0.3">
      <c r="A26" s="10" t="s">
        <v>100</v>
      </c>
      <c r="B26" s="1" t="s">
        <v>39</v>
      </c>
      <c r="C26" s="1" t="s">
        <v>39</v>
      </c>
      <c r="D26" s="1" t="s">
        <v>39</v>
      </c>
      <c r="E26" s="1" t="s">
        <v>39</v>
      </c>
      <c r="F26" s="1" t="s">
        <v>16</v>
      </c>
      <c r="G26" s="1" t="s">
        <v>16</v>
      </c>
      <c r="H26" s="1" t="s">
        <v>16</v>
      </c>
      <c r="I26" s="2" t="s">
        <v>25</v>
      </c>
      <c r="J26" s="3">
        <v>0.54166666666666663</v>
      </c>
      <c r="K26" s="3">
        <v>0.76041666666666663</v>
      </c>
      <c r="L26" s="3">
        <v>0.63541666666666663</v>
      </c>
      <c r="M26" s="3">
        <v>0.86458333333333337</v>
      </c>
      <c r="N26" s="4" t="s">
        <v>18</v>
      </c>
      <c r="O26" s="1" t="s">
        <v>39</v>
      </c>
      <c r="P26">
        <f t="shared" si="0"/>
        <v>0</v>
      </c>
    </row>
    <row r="27" spans="1:16" x14ac:dyDescent="0.3">
      <c r="A27" s="16" t="s">
        <v>202</v>
      </c>
      <c r="B27" s="17" t="s">
        <v>45</v>
      </c>
      <c r="C27" s="17" t="s">
        <v>45</v>
      </c>
      <c r="D27" s="17" t="s">
        <v>45</v>
      </c>
      <c r="E27" s="17" t="s">
        <v>16</v>
      </c>
      <c r="F27" s="17" t="s">
        <v>16</v>
      </c>
      <c r="G27" s="17" t="s">
        <v>16</v>
      </c>
      <c r="H27" s="17" t="s">
        <v>45</v>
      </c>
      <c r="I27" s="18" t="s">
        <v>20</v>
      </c>
      <c r="J27" s="21">
        <v>0.15625</v>
      </c>
      <c r="K27" s="21">
        <v>0.375</v>
      </c>
      <c r="L27" s="21">
        <v>0.25</v>
      </c>
      <c r="M27" s="21">
        <v>0.47916666666666669</v>
      </c>
      <c r="N27" s="22" t="s">
        <v>33</v>
      </c>
      <c r="O27" s="17" t="s">
        <v>45</v>
      </c>
      <c r="P27">
        <f t="shared" si="0"/>
        <v>0</v>
      </c>
    </row>
    <row r="28" spans="1:16" x14ac:dyDescent="0.3">
      <c r="A28" s="11" t="s">
        <v>101</v>
      </c>
      <c r="B28" s="13" t="s">
        <v>46</v>
      </c>
      <c r="C28" s="13" t="s">
        <v>46</v>
      </c>
      <c r="D28" s="5" t="s">
        <v>16</v>
      </c>
      <c r="E28" s="13" t="s">
        <v>46</v>
      </c>
      <c r="F28" s="13" t="s">
        <v>46</v>
      </c>
      <c r="G28" s="5" t="s">
        <v>16</v>
      </c>
      <c r="H28" s="5" t="s">
        <v>16</v>
      </c>
      <c r="I28" s="6" t="s">
        <v>36</v>
      </c>
      <c r="J28" s="7">
        <v>0.16666666666666666</v>
      </c>
      <c r="K28" s="7">
        <v>0.26041666666666669</v>
      </c>
      <c r="L28" s="7">
        <v>4.1666666666666664E-2</v>
      </c>
      <c r="M28" s="7">
        <v>0.33333333333333331</v>
      </c>
      <c r="N28" s="8" t="s">
        <v>23</v>
      </c>
      <c r="O28" s="13" t="s">
        <v>46</v>
      </c>
      <c r="P28">
        <f t="shared" si="0"/>
        <v>1</v>
      </c>
    </row>
    <row r="29" spans="1:16" x14ac:dyDescent="0.3">
      <c r="A29" s="11" t="s">
        <v>102</v>
      </c>
      <c r="B29" s="5" t="s">
        <v>21</v>
      </c>
      <c r="C29" s="5" t="s">
        <v>16</v>
      </c>
      <c r="D29" s="5" t="s">
        <v>21</v>
      </c>
      <c r="E29" s="5" t="s">
        <v>21</v>
      </c>
      <c r="F29" s="5" t="s">
        <v>21</v>
      </c>
      <c r="G29" s="5" t="s">
        <v>16</v>
      </c>
      <c r="H29" s="5" t="s">
        <v>16</v>
      </c>
      <c r="I29" s="6" t="s">
        <v>34</v>
      </c>
      <c r="J29" s="7">
        <v>0.41666666666666669</v>
      </c>
      <c r="K29" s="7">
        <v>0.64583333333333337</v>
      </c>
      <c r="L29" s="7">
        <v>0.5</v>
      </c>
      <c r="M29" s="7">
        <v>0.75</v>
      </c>
      <c r="N29" s="8" t="s">
        <v>23</v>
      </c>
      <c r="O29" s="5" t="s">
        <v>21</v>
      </c>
      <c r="P29">
        <f t="shared" si="0"/>
        <v>0</v>
      </c>
    </row>
    <row r="30" spans="1:16" x14ac:dyDescent="0.3">
      <c r="A30" s="16" t="s">
        <v>103</v>
      </c>
      <c r="B30" s="17" t="s">
        <v>16</v>
      </c>
      <c r="C30" s="17" t="s">
        <v>16</v>
      </c>
      <c r="D30" s="17" t="s">
        <v>47</v>
      </c>
      <c r="E30" s="17" t="s">
        <v>47</v>
      </c>
      <c r="F30" s="17" t="s">
        <v>47</v>
      </c>
      <c r="G30" s="17" t="s">
        <v>47</v>
      </c>
      <c r="H30" s="17" t="s">
        <v>16</v>
      </c>
      <c r="I30" s="18" t="s">
        <v>30</v>
      </c>
      <c r="J30" s="21">
        <v>0.58333333333333337</v>
      </c>
      <c r="K30" s="21">
        <v>0.8125</v>
      </c>
      <c r="L30" s="21">
        <v>0.67708333333333337</v>
      </c>
      <c r="M30" s="21">
        <v>0.91666666666666663</v>
      </c>
      <c r="N30" s="22" t="s">
        <v>23</v>
      </c>
      <c r="O30" s="17" t="s">
        <v>47</v>
      </c>
      <c r="P30">
        <f t="shared" si="0"/>
        <v>1</v>
      </c>
    </row>
    <row r="31" spans="1:16" x14ac:dyDescent="0.3">
      <c r="A31" s="10" t="s">
        <v>104</v>
      </c>
      <c r="B31" s="1" t="s">
        <v>16</v>
      </c>
      <c r="C31" s="1" t="s">
        <v>43</v>
      </c>
      <c r="D31" s="1" t="s">
        <v>43</v>
      </c>
      <c r="E31" s="1" t="s">
        <v>43</v>
      </c>
      <c r="F31" s="1" t="s">
        <v>43</v>
      </c>
      <c r="G31" s="1" t="s">
        <v>16</v>
      </c>
      <c r="H31" s="1" t="s">
        <v>16</v>
      </c>
      <c r="I31" s="2" t="s">
        <v>37</v>
      </c>
      <c r="J31" s="3">
        <v>0.30208333333333331</v>
      </c>
      <c r="K31" s="3">
        <v>0.46875</v>
      </c>
      <c r="L31" s="3">
        <v>0.38541666666666669</v>
      </c>
      <c r="M31" s="3">
        <v>0.58333333333333337</v>
      </c>
      <c r="N31" s="4" t="s">
        <v>23</v>
      </c>
      <c r="O31" s="1" t="s">
        <v>43</v>
      </c>
      <c r="P31">
        <f t="shared" si="0"/>
        <v>0</v>
      </c>
    </row>
    <row r="32" spans="1:16" x14ac:dyDescent="0.3">
      <c r="A32" s="16" t="s">
        <v>105</v>
      </c>
      <c r="B32" s="17" t="s">
        <v>48</v>
      </c>
      <c r="C32" s="17" t="s">
        <v>48</v>
      </c>
      <c r="D32" s="17" t="s">
        <v>16</v>
      </c>
      <c r="E32" s="17" t="s">
        <v>16</v>
      </c>
      <c r="F32" s="17" t="s">
        <v>16</v>
      </c>
      <c r="G32" s="17" t="s">
        <v>48</v>
      </c>
      <c r="H32" s="17" t="s">
        <v>48</v>
      </c>
      <c r="I32" s="18" t="s">
        <v>49</v>
      </c>
      <c r="J32" s="21">
        <v>0.95833333333333337</v>
      </c>
      <c r="K32" s="21">
        <v>6.25E-2</v>
      </c>
      <c r="L32" s="21">
        <v>0.16666666666666666</v>
      </c>
      <c r="M32" s="21">
        <v>0.29166666666666669</v>
      </c>
      <c r="N32" s="22" t="s">
        <v>31</v>
      </c>
      <c r="O32" s="17" t="s">
        <v>48</v>
      </c>
      <c r="P32">
        <f t="shared" si="0"/>
        <v>1</v>
      </c>
    </row>
    <row r="33" spans="1:16" x14ac:dyDescent="0.3">
      <c r="A33" s="44" t="s">
        <v>136</v>
      </c>
      <c r="B33" s="47" t="s">
        <v>16</v>
      </c>
      <c r="C33" s="47" t="s">
        <v>16</v>
      </c>
      <c r="D33" s="49" t="s">
        <v>66</v>
      </c>
      <c r="E33" s="49" t="s">
        <v>66</v>
      </c>
      <c r="F33" s="49" t="s">
        <v>66</v>
      </c>
      <c r="G33" s="49" t="s">
        <v>66</v>
      </c>
      <c r="H33" s="47" t="s">
        <v>16</v>
      </c>
      <c r="I33" s="50" t="s">
        <v>74</v>
      </c>
      <c r="J33" s="52">
        <v>0.34375</v>
      </c>
      <c r="K33" s="52">
        <v>0.16666666666666666</v>
      </c>
      <c r="L33" s="52">
        <v>0.22916666666666666</v>
      </c>
      <c r="M33" s="52">
        <v>0.42708333333333331</v>
      </c>
      <c r="N33" s="54" t="s">
        <v>23</v>
      </c>
      <c r="O33" s="49" t="s">
        <v>66</v>
      </c>
      <c r="P33">
        <f t="shared" si="0"/>
        <v>0</v>
      </c>
    </row>
    <row r="34" spans="1:16" s="35" customFormat="1" x14ac:dyDescent="0.3">
      <c r="A34" s="16" t="s">
        <v>106</v>
      </c>
      <c r="B34" s="17" t="s">
        <v>42</v>
      </c>
      <c r="C34" s="17" t="s">
        <v>42</v>
      </c>
      <c r="D34" s="17" t="s">
        <v>42</v>
      </c>
      <c r="E34" s="17" t="s">
        <v>42</v>
      </c>
      <c r="F34" s="17" t="s">
        <v>16</v>
      </c>
      <c r="G34" s="17" t="s">
        <v>16</v>
      </c>
      <c r="H34" s="17" t="s">
        <v>16</v>
      </c>
      <c r="I34" s="18" t="s">
        <v>25</v>
      </c>
      <c r="J34" s="21">
        <v>0.33333333333333331</v>
      </c>
      <c r="K34" s="21">
        <v>0.55208333333333337</v>
      </c>
      <c r="L34" s="21">
        <v>0.42708333333333331</v>
      </c>
      <c r="M34" s="21">
        <v>0.64583333333333337</v>
      </c>
      <c r="N34" s="22" t="s">
        <v>18</v>
      </c>
      <c r="O34" s="17" t="s">
        <v>42</v>
      </c>
      <c r="P34">
        <f t="shared" ref="P34:P60" si="1">IF(O34="OFF",0,
IF(VALUE(LEFT(O34,2))&lt;12,0,1))</f>
        <v>0</v>
      </c>
    </row>
    <row r="35" spans="1:16" x14ac:dyDescent="0.3">
      <c r="A35" s="11" t="s">
        <v>107</v>
      </c>
      <c r="B35" s="5" t="s">
        <v>50</v>
      </c>
      <c r="C35" s="5" t="s">
        <v>16</v>
      </c>
      <c r="D35" s="5" t="s">
        <v>16</v>
      </c>
      <c r="E35" s="5" t="s">
        <v>50</v>
      </c>
      <c r="F35" s="5" t="s">
        <v>50</v>
      </c>
      <c r="G35" s="5" t="s">
        <v>16</v>
      </c>
      <c r="H35" s="5" t="s">
        <v>50</v>
      </c>
      <c r="I35" s="6" t="s">
        <v>51</v>
      </c>
      <c r="J35" s="7">
        <v>0.125</v>
      </c>
      <c r="K35" s="7">
        <v>0.21875</v>
      </c>
      <c r="L35" s="7">
        <v>0</v>
      </c>
      <c r="M35" s="7">
        <v>0.29166666666666669</v>
      </c>
      <c r="N35" s="8" t="s">
        <v>18</v>
      </c>
      <c r="O35" s="5" t="s">
        <v>50</v>
      </c>
      <c r="P35">
        <f t="shared" si="1"/>
        <v>1</v>
      </c>
    </row>
    <row r="36" spans="1:16" x14ac:dyDescent="0.3">
      <c r="A36" s="16" t="s">
        <v>108</v>
      </c>
      <c r="B36" s="17" t="s">
        <v>19</v>
      </c>
      <c r="C36" s="17" t="s">
        <v>19</v>
      </c>
      <c r="D36" s="17" t="s">
        <v>19</v>
      </c>
      <c r="E36" s="17" t="s">
        <v>19</v>
      </c>
      <c r="F36" s="17" t="s">
        <v>16</v>
      </c>
      <c r="G36" s="17" t="s">
        <v>16</v>
      </c>
      <c r="H36" s="17" t="s">
        <v>16</v>
      </c>
      <c r="I36" s="18" t="s">
        <v>25</v>
      </c>
      <c r="J36" s="21">
        <v>0.625</v>
      </c>
      <c r="K36" s="21">
        <v>0.875</v>
      </c>
      <c r="L36" s="21">
        <v>0.75</v>
      </c>
      <c r="M36" s="21">
        <v>0.97916666666666663</v>
      </c>
      <c r="N36" s="22" t="s">
        <v>23</v>
      </c>
      <c r="O36" s="17" t="s">
        <v>19</v>
      </c>
      <c r="P36">
        <f t="shared" si="1"/>
        <v>1</v>
      </c>
    </row>
    <row r="37" spans="1:16" x14ac:dyDescent="0.3">
      <c r="A37" s="30" t="s">
        <v>109</v>
      </c>
      <c r="B37" s="31" t="s">
        <v>16</v>
      </c>
      <c r="C37" s="36" t="s">
        <v>42</v>
      </c>
      <c r="D37" s="36" t="s">
        <v>42</v>
      </c>
      <c r="E37" s="36" t="s">
        <v>42</v>
      </c>
      <c r="F37" s="36" t="s">
        <v>42</v>
      </c>
      <c r="G37" s="31" t="s">
        <v>16</v>
      </c>
      <c r="H37" s="31" t="s">
        <v>16</v>
      </c>
      <c r="I37" s="32" t="s">
        <v>37</v>
      </c>
      <c r="J37" s="33">
        <v>0.34375</v>
      </c>
      <c r="K37" s="33">
        <v>0.53125</v>
      </c>
      <c r="L37" s="33">
        <v>0.41666666666666669</v>
      </c>
      <c r="M37" s="33">
        <v>0.625</v>
      </c>
      <c r="N37" s="34" t="s">
        <v>33</v>
      </c>
      <c r="O37" s="36" t="s">
        <v>42</v>
      </c>
      <c r="P37">
        <f t="shared" si="1"/>
        <v>0</v>
      </c>
    </row>
    <row r="38" spans="1:16" x14ac:dyDescent="0.3">
      <c r="A38" s="16" t="s">
        <v>110</v>
      </c>
      <c r="B38" s="17" t="s">
        <v>29</v>
      </c>
      <c r="C38" s="17" t="s">
        <v>29</v>
      </c>
      <c r="D38" s="17" t="s">
        <v>29</v>
      </c>
      <c r="E38" s="17" t="s">
        <v>16</v>
      </c>
      <c r="F38" s="17" t="s">
        <v>29</v>
      </c>
      <c r="G38" s="17" t="s">
        <v>16</v>
      </c>
      <c r="H38" s="17" t="s">
        <v>16</v>
      </c>
      <c r="I38" s="18" t="s">
        <v>22</v>
      </c>
      <c r="J38" s="21">
        <v>0.45833333333333331</v>
      </c>
      <c r="K38" s="21">
        <v>0.55208333333333337</v>
      </c>
      <c r="L38" s="21">
        <v>0.625</v>
      </c>
      <c r="M38" s="21">
        <v>0.77083333333333337</v>
      </c>
      <c r="N38" s="22" t="s">
        <v>31</v>
      </c>
      <c r="O38" s="17" t="s">
        <v>29</v>
      </c>
      <c r="P38">
        <f t="shared" si="1"/>
        <v>0</v>
      </c>
    </row>
    <row r="39" spans="1:16" x14ac:dyDescent="0.3">
      <c r="A39" s="11" t="s">
        <v>111</v>
      </c>
      <c r="B39" s="5" t="s">
        <v>21</v>
      </c>
      <c r="C39" s="5" t="s">
        <v>16</v>
      </c>
      <c r="D39" s="5" t="s">
        <v>21</v>
      </c>
      <c r="E39" s="5" t="s">
        <v>21</v>
      </c>
      <c r="F39" s="5" t="s">
        <v>21</v>
      </c>
      <c r="G39" s="5" t="s">
        <v>16</v>
      </c>
      <c r="H39" s="5" t="s">
        <v>16</v>
      </c>
      <c r="I39" s="6" t="s">
        <v>34</v>
      </c>
      <c r="J39" s="7">
        <v>0.42708333333333331</v>
      </c>
      <c r="K39" s="7">
        <v>0.63541666666666663</v>
      </c>
      <c r="L39" s="7">
        <v>0.51041666666666663</v>
      </c>
      <c r="M39" s="7">
        <v>0.73958333333333337</v>
      </c>
      <c r="N39" s="8" t="s">
        <v>18</v>
      </c>
      <c r="O39" s="5" t="s">
        <v>21</v>
      </c>
      <c r="P39">
        <f t="shared" si="1"/>
        <v>0</v>
      </c>
    </row>
    <row r="40" spans="1:16" x14ac:dyDescent="0.3">
      <c r="A40" s="11" t="s">
        <v>112</v>
      </c>
      <c r="B40" s="5" t="s">
        <v>52</v>
      </c>
      <c r="C40" s="5" t="s">
        <v>52</v>
      </c>
      <c r="D40" s="5" t="s">
        <v>52</v>
      </c>
      <c r="E40" s="5" t="s">
        <v>16</v>
      </c>
      <c r="F40" s="5" t="s">
        <v>16</v>
      </c>
      <c r="G40" s="5" t="s">
        <v>52</v>
      </c>
      <c r="H40" s="5" t="s">
        <v>16</v>
      </c>
      <c r="I40" s="6" t="s">
        <v>53</v>
      </c>
      <c r="J40" s="7">
        <v>5.2083333333333336E-2</v>
      </c>
      <c r="K40" s="7">
        <v>0.27083333333333331</v>
      </c>
      <c r="L40" s="7">
        <v>0.125</v>
      </c>
      <c r="M40" s="7">
        <v>0.35416666666666669</v>
      </c>
      <c r="N40" s="8" t="s">
        <v>33</v>
      </c>
      <c r="O40" s="5" t="s">
        <v>52</v>
      </c>
      <c r="P40">
        <f t="shared" si="1"/>
        <v>1</v>
      </c>
    </row>
    <row r="41" spans="1:16" x14ac:dyDescent="0.3">
      <c r="A41" s="11" t="s">
        <v>113</v>
      </c>
      <c r="B41" s="5" t="s">
        <v>21</v>
      </c>
      <c r="C41" s="5" t="s">
        <v>21</v>
      </c>
      <c r="D41" s="5" t="s">
        <v>16</v>
      </c>
      <c r="E41" s="5" t="s">
        <v>21</v>
      </c>
      <c r="F41" s="5" t="s">
        <v>21</v>
      </c>
      <c r="G41" s="5" t="s">
        <v>16</v>
      </c>
      <c r="H41" s="5" t="s">
        <v>16</v>
      </c>
      <c r="I41" s="6" t="s">
        <v>36</v>
      </c>
      <c r="J41" s="7">
        <v>0.4375</v>
      </c>
      <c r="K41" s="7">
        <v>0.6875</v>
      </c>
      <c r="L41" s="7">
        <v>0.5625</v>
      </c>
      <c r="M41" s="7">
        <v>0.75</v>
      </c>
      <c r="N41" s="8" t="s">
        <v>28</v>
      </c>
      <c r="O41" s="5" t="s">
        <v>21</v>
      </c>
      <c r="P41">
        <f t="shared" si="1"/>
        <v>0</v>
      </c>
    </row>
    <row r="42" spans="1:16" x14ac:dyDescent="0.3">
      <c r="A42" s="16" t="s">
        <v>114</v>
      </c>
      <c r="B42" s="17" t="s">
        <v>16</v>
      </c>
      <c r="C42" s="17" t="s">
        <v>54</v>
      </c>
      <c r="D42" s="17" t="s">
        <v>54</v>
      </c>
      <c r="E42" s="17" t="s">
        <v>54</v>
      </c>
      <c r="F42" s="17" t="s">
        <v>54</v>
      </c>
      <c r="G42" s="17" t="s">
        <v>16</v>
      </c>
      <c r="H42" s="17" t="s">
        <v>16</v>
      </c>
      <c r="I42" s="18" t="s">
        <v>37</v>
      </c>
      <c r="J42" s="21">
        <v>0.8125</v>
      </c>
      <c r="K42" s="21">
        <v>0</v>
      </c>
      <c r="L42" s="21">
        <v>0.90625</v>
      </c>
      <c r="M42" s="21">
        <v>0.10416666666666667</v>
      </c>
      <c r="N42" s="22" t="s">
        <v>23</v>
      </c>
      <c r="O42" s="17" t="s">
        <v>54</v>
      </c>
      <c r="P42">
        <f t="shared" si="1"/>
        <v>1</v>
      </c>
    </row>
    <row r="43" spans="1:16" x14ac:dyDescent="0.3">
      <c r="A43" s="11" t="s">
        <v>115</v>
      </c>
      <c r="B43" s="5" t="s">
        <v>21</v>
      </c>
      <c r="C43" s="5" t="s">
        <v>21</v>
      </c>
      <c r="D43" s="5" t="s">
        <v>16</v>
      </c>
      <c r="E43" s="5" t="s">
        <v>21</v>
      </c>
      <c r="F43" s="5" t="s">
        <v>21</v>
      </c>
      <c r="G43" s="5" t="s">
        <v>16</v>
      </c>
      <c r="H43" s="5" t="s">
        <v>16</v>
      </c>
      <c r="I43" s="6" t="s">
        <v>36</v>
      </c>
      <c r="J43" s="7">
        <v>0.41666666666666669</v>
      </c>
      <c r="K43" s="7">
        <v>0.625</v>
      </c>
      <c r="L43" s="7">
        <v>0.5</v>
      </c>
      <c r="M43" s="7">
        <v>0.71875</v>
      </c>
      <c r="N43" s="8" t="s">
        <v>18</v>
      </c>
      <c r="O43" s="5" t="s">
        <v>21</v>
      </c>
      <c r="P43">
        <f t="shared" si="1"/>
        <v>0</v>
      </c>
    </row>
    <row r="44" spans="1:16" x14ac:dyDescent="0.3">
      <c r="A44" s="11" t="s">
        <v>116</v>
      </c>
      <c r="B44" s="5" t="s">
        <v>29</v>
      </c>
      <c r="C44" s="5" t="s">
        <v>29</v>
      </c>
      <c r="D44" s="5" t="s">
        <v>16</v>
      </c>
      <c r="E44" s="5" t="s">
        <v>29</v>
      </c>
      <c r="F44" s="5" t="s">
        <v>29</v>
      </c>
      <c r="G44" s="5" t="s">
        <v>16</v>
      </c>
      <c r="H44" s="5" t="s">
        <v>16</v>
      </c>
      <c r="I44" s="6" t="s">
        <v>36</v>
      </c>
      <c r="J44" s="7">
        <v>0.48958333333333331</v>
      </c>
      <c r="K44" s="7">
        <v>0.69791666666666663</v>
      </c>
      <c r="L44" s="7">
        <v>0.57291666666666663</v>
      </c>
      <c r="M44" s="7">
        <v>0.78125</v>
      </c>
      <c r="N44" s="8" t="s">
        <v>28</v>
      </c>
      <c r="O44" s="5" t="s">
        <v>29</v>
      </c>
      <c r="P44">
        <f t="shared" si="1"/>
        <v>0</v>
      </c>
    </row>
    <row r="45" spans="1:16" x14ac:dyDescent="0.3">
      <c r="A45" s="11" t="s">
        <v>117</v>
      </c>
      <c r="B45" s="5" t="s">
        <v>29</v>
      </c>
      <c r="C45" s="5" t="s">
        <v>29</v>
      </c>
      <c r="D45" s="5" t="s">
        <v>29</v>
      </c>
      <c r="E45" s="5" t="s">
        <v>29</v>
      </c>
      <c r="F45" s="5" t="s">
        <v>16</v>
      </c>
      <c r="G45" s="5" t="s">
        <v>16</v>
      </c>
      <c r="H45" s="5" t="s">
        <v>16</v>
      </c>
      <c r="I45" s="6" t="s">
        <v>25</v>
      </c>
      <c r="J45" s="7">
        <v>0.45833333333333331</v>
      </c>
      <c r="K45" s="7">
        <v>0.67708333333333337</v>
      </c>
      <c r="L45" s="7">
        <v>0.55208333333333337</v>
      </c>
      <c r="M45" s="7">
        <v>0.77083333333333337</v>
      </c>
      <c r="N45" s="8" t="s">
        <v>31</v>
      </c>
      <c r="O45" s="5" t="s">
        <v>29</v>
      </c>
      <c r="P45">
        <f t="shared" si="1"/>
        <v>0</v>
      </c>
    </row>
    <row r="46" spans="1:16" x14ac:dyDescent="0.3">
      <c r="A46" s="16" t="s">
        <v>118</v>
      </c>
      <c r="B46" s="17" t="s">
        <v>16</v>
      </c>
      <c r="C46" s="17" t="s">
        <v>16</v>
      </c>
      <c r="D46" s="17" t="s">
        <v>55</v>
      </c>
      <c r="E46" s="17" t="s">
        <v>55</v>
      </c>
      <c r="F46" s="17" t="s">
        <v>55</v>
      </c>
      <c r="G46" s="17" t="s">
        <v>55</v>
      </c>
      <c r="H46" s="17" t="s">
        <v>16</v>
      </c>
      <c r="I46" s="18" t="s">
        <v>56</v>
      </c>
      <c r="J46" s="21">
        <v>0.85416666666666663</v>
      </c>
      <c r="K46" s="21">
        <v>7.2916666666666671E-2</v>
      </c>
      <c r="L46" s="21">
        <v>0.94791666666666663</v>
      </c>
      <c r="M46" s="21">
        <v>0.17708333333333334</v>
      </c>
      <c r="N46" s="22" t="s">
        <v>33</v>
      </c>
      <c r="O46" s="17" t="s">
        <v>55</v>
      </c>
      <c r="P46">
        <f t="shared" si="1"/>
        <v>1</v>
      </c>
    </row>
    <row r="47" spans="1:16" x14ac:dyDescent="0.3">
      <c r="A47" s="10" t="s">
        <v>119</v>
      </c>
      <c r="B47" s="1" t="s">
        <v>29</v>
      </c>
      <c r="C47" s="1" t="s">
        <v>29</v>
      </c>
      <c r="D47" s="1" t="s">
        <v>16</v>
      </c>
      <c r="E47" s="1" t="s">
        <v>29</v>
      </c>
      <c r="F47" s="1" t="s">
        <v>29</v>
      </c>
      <c r="G47" s="1" t="s">
        <v>16</v>
      </c>
      <c r="H47" s="1" t="s">
        <v>16</v>
      </c>
      <c r="I47" s="2" t="s">
        <v>25</v>
      </c>
      <c r="J47" s="3">
        <v>0.47916666666666669</v>
      </c>
      <c r="K47" s="3">
        <v>0.67708333333333337</v>
      </c>
      <c r="L47" s="3">
        <v>0.57291666666666663</v>
      </c>
      <c r="M47" s="3">
        <v>0.78125</v>
      </c>
      <c r="N47" s="4" t="s">
        <v>18</v>
      </c>
      <c r="O47" s="1" t="s">
        <v>29</v>
      </c>
      <c r="P47">
        <f t="shared" si="1"/>
        <v>0</v>
      </c>
    </row>
    <row r="48" spans="1:16" x14ac:dyDescent="0.3">
      <c r="A48" s="16" t="s">
        <v>120</v>
      </c>
      <c r="B48" s="17" t="s">
        <v>16</v>
      </c>
      <c r="C48" s="17" t="s">
        <v>29</v>
      </c>
      <c r="D48" s="17" t="s">
        <v>29</v>
      </c>
      <c r="E48" s="17" t="s">
        <v>29</v>
      </c>
      <c r="F48" s="17" t="s">
        <v>29</v>
      </c>
      <c r="G48" s="17" t="s">
        <v>16</v>
      </c>
      <c r="H48" s="17" t="s">
        <v>16</v>
      </c>
      <c r="I48" s="18" t="s">
        <v>37</v>
      </c>
      <c r="J48" s="21">
        <v>0.46875</v>
      </c>
      <c r="K48" s="21">
        <v>0.5625</v>
      </c>
      <c r="L48" s="21">
        <v>0.625</v>
      </c>
      <c r="M48" s="21">
        <v>0.78125</v>
      </c>
      <c r="N48" s="22" t="s">
        <v>28</v>
      </c>
      <c r="O48" s="17" t="s">
        <v>29</v>
      </c>
      <c r="P48">
        <f t="shared" si="1"/>
        <v>0</v>
      </c>
    </row>
    <row r="49" spans="1:16" x14ac:dyDescent="0.3">
      <c r="A49" s="10" t="s">
        <v>137</v>
      </c>
      <c r="B49" s="1" t="s">
        <v>43</v>
      </c>
      <c r="C49" s="1" t="s">
        <v>43</v>
      </c>
      <c r="D49" s="1" t="s">
        <v>16</v>
      </c>
      <c r="E49" s="1" t="s">
        <v>16</v>
      </c>
      <c r="F49" s="1" t="s">
        <v>16</v>
      </c>
      <c r="G49" s="1" t="s">
        <v>43</v>
      </c>
      <c r="H49" s="1" t="s">
        <v>43</v>
      </c>
      <c r="I49" s="2" t="s">
        <v>17</v>
      </c>
      <c r="J49" s="3">
        <v>0.29166666666666669</v>
      </c>
      <c r="K49" s="3">
        <v>0.51041666666666663</v>
      </c>
      <c r="L49" s="3">
        <v>0.38541666666666669</v>
      </c>
      <c r="M49" s="3">
        <v>0.61458333333333337</v>
      </c>
      <c r="N49" s="4" t="s">
        <v>18</v>
      </c>
      <c r="O49" s="1" t="s">
        <v>43</v>
      </c>
      <c r="P49">
        <f t="shared" si="1"/>
        <v>0</v>
      </c>
    </row>
    <row r="50" spans="1:16" x14ac:dyDescent="0.3">
      <c r="A50" s="16" t="s">
        <v>121</v>
      </c>
      <c r="B50" s="17" t="s">
        <v>16</v>
      </c>
      <c r="C50" s="17" t="s">
        <v>16</v>
      </c>
      <c r="D50" s="17" t="s">
        <v>16</v>
      </c>
      <c r="E50" s="17" t="s">
        <v>26</v>
      </c>
      <c r="F50" s="17" t="s">
        <v>26</v>
      </c>
      <c r="G50" s="17" t="s">
        <v>26</v>
      </c>
      <c r="H50" s="17" t="s">
        <v>26</v>
      </c>
      <c r="I50" s="18" t="s">
        <v>27</v>
      </c>
      <c r="J50" s="21">
        <v>0.91666666666666663</v>
      </c>
      <c r="K50" s="21">
        <v>2.0833333333333332E-2</v>
      </c>
      <c r="L50" s="21">
        <v>0.10416666666666667</v>
      </c>
      <c r="M50" s="21">
        <v>0.25</v>
      </c>
      <c r="N50" s="22" t="s">
        <v>33</v>
      </c>
      <c r="O50" s="17" t="s">
        <v>26</v>
      </c>
      <c r="P50">
        <f t="shared" si="1"/>
        <v>1</v>
      </c>
    </row>
    <row r="51" spans="1:16" x14ac:dyDescent="0.3">
      <c r="A51" s="10" t="s">
        <v>122</v>
      </c>
      <c r="B51" s="1" t="s">
        <v>46</v>
      </c>
      <c r="C51" s="1" t="s">
        <v>46</v>
      </c>
      <c r="D51" s="1" t="s">
        <v>46</v>
      </c>
      <c r="E51" s="1" t="s">
        <v>46</v>
      </c>
      <c r="F51" s="1" t="s">
        <v>16</v>
      </c>
      <c r="G51" s="1" t="s">
        <v>16</v>
      </c>
      <c r="H51" s="1" t="s">
        <v>16</v>
      </c>
      <c r="I51" s="2" t="s">
        <v>25</v>
      </c>
      <c r="J51" s="3">
        <v>0</v>
      </c>
      <c r="K51" s="3">
        <v>0.19791666666666666</v>
      </c>
      <c r="L51" s="3">
        <v>9.375E-2</v>
      </c>
      <c r="M51" s="3">
        <v>0.30208333333333331</v>
      </c>
      <c r="N51" s="4" t="s">
        <v>23</v>
      </c>
      <c r="O51" s="1" t="s">
        <v>46</v>
      </c>
      <c r="P51">
        <f t="shared" si="1"/>
        <v>1</v>
      </c>
    </row>
    <row r="52" spans="1:16" x14ac:dyDescent="0.3">
      <c r="A52" s="11" t="s">
        <v>123</v>
      </c>
      <c r="B52" s="5" t="s">
        <v>16</v>
      </c>
      <c r="C52" s="5" t="s">
        <v>16</v>
      </c>
      <c r="D52" s="5" t="s">
        <v>16</v>
      </c>
      <c r="E52" s="5" t="s">
        <v>44</v>
      </c>
      <c r="F52" s="5" t="s">
        <v>44</v>
      </c>
      <c r="G52" s="5" t="s">
        <v>44</v>
      </c>
      <c r="H52" s="5" t="s">
        <v>44</v>
      </c>
      <c r="I52" s="6" t="s">
        <v>57</v>
      </c>
      <c r="J52" s="7">
        <v>0.5</v>
      </c>
      <c r="K52" s="7">
        <v>0.72916666666666663</v>
      </c>
      <c r="L52" s="7">
        <v>0.60416666666666663</v>
      </c>
      <c r="M52" s="7">
        <v>0.82291666666666663</v>
      </c>
      <c r="N52" s="8" t="s">
        <v>33</v>
      </c>
      <c r="O52" s="5" t="s">
        <v>44</v>
      </c>
      <c r="P52">
        <f t="shared" si="1"/>
        <v>0</v>
      </c>
    </row>
    <row r="53" spans="1:16" x14ac:dyDescent="0.3">
      <c r="A53" s="10" t="s">
        <v>124</v>
      </c>
      <c r="B53" s="1" t="s">
        <v>29</v>
      </c>
      <c r="C53" s="1" t="s">
        <v>16</v>
      </c>
      <c r="D53" s="1" t="s">
        <v>16</v>
      </c>
      <c r="E53" s="1" t="s">
        <v>16</v>
      </c>
      <c r="F53" s="1" t="s">
        <v>29</v>
      </c>
      <c r="G53" s="1" t="s">
        <v>29</v>
      </c>
      <c r="H53" s="1" t="s">
        <v>29</v>
      </c>
      <c r="I53" s="2" t="s">
        <v>32</v>
      </c>
      <c r="J53" s="3">
        <v>0.46875</v>
      </c>
      <c r="K53" s="3">
        <v>0.5625</v>
      </c>
      <c r="L53" s="3">
        <v>0.625</v>
      </c>
      <c r="M53" s="3">
        <v>0.77083333333333337</v>
      </c>
      <c r="N53" s="4" t="s">
        <v>33</v>
      </c>
      <c r="O53" s="1" t="s">
        <v>29</v>
      </c>
      <c r="P53">
        <f t="shared" si="1"/>
        <v>0</v>
      </c>
    </row>
    <row r="54" spans="1:16" x14ac:dyDescent="0.3">
      <c r="A54" s="11" t="s">
        <v>125</v>
      </c>
      <c r="B54" s="5" t="s">
        <v>29</v>
      </c>
      <c r="C54" s="5" t="s">
        <v>16</v>
      </c>
      <c r="D54" s="5" t="s">
        <v>16</v>
      </c>
      <c r="E54" s="5" t="s">
        <v>16</v>
      </c>
      <c r="F54" s="5" t="s">
        <v>29</v>
      </c>
      <c r="G54" s="5" t="s">
        <v>29</v>
      </c>
      <c r="H54" s="5" t="s">
        <v>29</v>
      </c>
      <c r="I54" s="6" t="s">
        <v>32</v>
      </c>
      <c r="J54" s="7">
        <v>0.44791666666666669</v>
      </c>
      <c r="K54" s="7">
        <v>0.65625</v>
      </c>
      <c r="L54" s="7">
        <v>0.52083333333333337</v>
      </c>
      <c r="M54" s="7">
        <v>0.76041666666666663</v>
      </c>
      <c r="N54" s="8" t="s">
        <v>31</v>
      </c>
      <c r="O54" s="5" t="s">
        <v>29</v>
      </c>
      <c r="P54">
        <f t="shared" si="1"/>
        <v>0</v>
      </c>
    </row>
    <row r="55" spans="1:16" x14ac:dyDescent="0.3">
      <c r="A55" s="16" t="s">
        <v>126</v>
      </c>
      <c r="B55" s="17" t="s">
        <v>54</v>
      </c>
      <c r="C55" s="17" t="s">
        <v>54</v>
      </c>
      <c r="D55" s="17" t="s">
        <v>54</v>
      </c>
      <c r="E55" s="17" t="s">
        <v>16</v>
      </c>
      <c r="F55" s="17" t="s">
        <v>16</v>
      </c>
      <c r="G55" s="17" t="s">
        <v>16</v>
      </c>
      <c r="H55" s="17" t="s">
        <v>54</v>
      </c>
      <c r="I55" s="18" t="s">
        <v>20</v>
      </c>
      <c r="J55" s="21">
        <v>0.8125</v>
      </c>
      <c r="K55" s="21">
        <v>1.0416666666666666E-2</v>
      </c>
      <c r="L55" s="21">
        <v>0.89583333333333337</v>
      </c>
      <c r="M55" s="21">
        <v>0.11458333333333333</v>
      </c>
      <c r="N55" s="22" t="s">
        <v>33</v>
      </c>
      <c r="O55" s="17" t="s">
        <v>54</v>
      </c>
      <c r="P55">
        <f t="shared" si="1"/>
        <v>1</v>
      </c>
    </row>
    <row r="56" spans="1:16" x14ac:dyDescent="0.3">
      <c r="A56" s="10" t="s">
        <v>127</v>
      </c>
      <c r="B56" s="9" t="s">
        <v>58</v>
      </c>
      <c r="C56" s="9" t="s">
        <v>58</v>
      </c>
      <c r="D56" s="1" t="s">
        <v>16</v>
      </c>
      <c r="E56" s="1" t="s">
        <v>16</v>
      </c>
      <c r="F56" s="1" t="s">
        <v>16</v>
      </c>
      <c r="G56" s="9" t="s">
        <v>58</v>
      </c>
      <c r="H56" s="9" t="s">
        <v>58</v>
      </c>
      <c r="I56" s="2" t="s">
        <v>49</v>
      </c>
      <c r="J56" s="9">
        <v>8.3333333333333329E-2</v>
      </c>
      <c r="K56" s="9">
        <v>0.16666666666666666</v>
      </c>
      <c r="L56" s="9">
        <v>0.29166666666666669</v>
      </c>
      <c r="M56" s="9">
        <v>0.41666666666666669</v>
      </c>
      <c r="N56" s="4" t="s">
        <v>59</v>
      </c>
      <c r="O56" s="9" t="s">
        <v>58</v>
      </c>
      <c r="P56">
        <f t="shared" si="1"/>
        <v>0</v>
      </c>
    </row>
    <row r="57" spans="1:16" x14ac:dyDescent="0.3">
      <c r="A57" s="11" t="s">
        <v>128</v>
      </c>
      <c r="B57" s="5" t="s">
        <v>16</v>
      </c>
      <c r="C57" s="5" t="s">
        <v>16</v>
      </c>
      <c r="D57" s="5" t="s">
        <v>60</v>
      </c>
      <c r="E57" s="5" t="s">
        <v>60</v>
      </c>
      <c r="F57" s="5" t="s">
        <v>16</v>
      </c>
      <c r="G57" s="5" t="s">
        <v>60</v>
      </c>
      <c r="H57" s="5" t="s">
        <v>60</v>
      </c>
      <c r="I57" s="6" t="s">
        <v>61</v>
      </c>
      <c r="J57" s="7">
        <v>5.2083333333333336E-2</v>
      </c>
      <c r="K57" s="7">
        <v>0.27083333333333331</v>
      </c>
      <c r="L57" s="7">
        <v>0.14583333333333334</v>
      </c>
      <c r="M57" s="7">
        <v>0.36458333333333331</v>
      </c>
      <c r="N57" s="8" t="s">
        <v>31</v>
      </c>
      <c r="O57" s="5" t="s">
        <v>60</v>
      </c>
      <c r="P57">
        <f t="shared" si="1"/>
        <v>1</v>
      </c>
    </row>
    <row r="58" spans="1:16" x14ac:dyDescent="0.3">
      <c r="A58" s="10" t="s">
        <v>129</v>
      </c>
      <c r="B58" s="1" t="s">
        <v>16</v>
      </c>
      <c r="C58" s="1" t="s">
        <v>16</v>
      </c>
      <c r="D58" s="1" t="s">
        <v>29</v>
      </c>
      <c r="E58" s="1" t="s">
        <v>29</v>
      </c>
      <c r="F58" s="1" t="s">
        <v>29</v>
      </c>
      <c r="G58" s="1" t="s">
        <v>29</v>
      </c>
      <c r="H58" s="1" t="s">
        <v>16</v>
      </c>
      <c r="I58" s="2" t="s">
        <v>30</v>
      </c>
      <c r="J58" s="3">
        <v>0.46875</v>
      </c>
      <c r="K58" s="3">
        <v>0.72916666666666663</v>
      </c>
      <c r="L58" s="3">
        <v>0.5625</v>
      </c>
      <c r="M58" s="3">
        <v>0.79166666666666663</v>
      </c>
      <c r="N58" s="4" t="s">
        <v>23</v>
      </c>
      <c r="O58" s="1" t="s">
        <v>29</v>
      </c>
      <c r="P58">
        <f t="shared" si="1"/>
        <v>0</v>
      </c>
    </row>
    <row r="59" spans="1:16" ht="15" customHeight="1" x14ac:dyDescent="0.3">
      <c r="A59" s="16" t="s">
        <v>130</v>
      </c>
      <c r="B59" s="17" t="s">
        <v>62</v>
      </c>
      <c r="C59" s="17" t="s">
        <v>62</v>
      </c>
      <c r="D59" s="17" t="s">
        <v>16</v>
      </c>
      <c r="E59" s="17" t="s">
        <v>16</v>
      </c>
      <c r="F59" s="17" t="s">
        <v>16</v>
      </c>
      <c r="G59" s="17" t="s">
        <v>62</v>
      </c>
      <c r="H59" s="17" t="s">
        <v>62</v>
      </c>
      <c r="I59" s="18" t="s">
        <v>17</v>
      </c>
      <c r="J59" s="21">
        <v>0.36458333333333331</v>
      </c>
      <c r="K59" s="21">
        <v>0.57291666666666663</v>
      </c>
      <c r="L59" s="21">
        <v>0.44791666666666669</v>
      </c>
      <c r="M59" s="21">
        <v>0.67708333333333337</v>
      </c>
      <c r="N59" s="22" t="s">
        <v>28</v>
      </c>
      <c r="O59" s="17" t="s">
        <v>62</v>
      </c>
      <c r="P59">
        <f t="shared" si="1"/>
        <v>0</v>
      </c>
    </row>
    <row r="60" spans="1:16" x14ac:dyDescent="0.3">
      <c r="A60" s="11" t="s">
        <v>131</v>
      </c>
      <c r="B60" s="5" t="s">
        <v>63</v>
      </c>
      <c r="C60" s="5" t="s">
        <v>63</v>
      </c>
      <c r="D60" s="5" t="s">
        <v>16</v>
      </c>
      <c r="E60" s="5" t="s">
        <v>16</v>
      </c>
      <c r="F60" s="5" t="s">
        <v>16</v>
      </c>
      <c r="G60" s="5" t="s">
        <v>63</v>
      </c>
      <c r="H60" s="5" t="s">
        <v>63</v>
      </c>
      <c r="I60" s="6" t="s">
        <v>17</v>
      </c>
      <c r="J60" s="7">
        <v>0.53125</v>
      </c>
      <c r="K60" s="7">
        <v>0.76041666666666663</v>
      </c>
      <c r="L60" s="7">
        <v>0.64583333333333337</v>
      </c>
      <c r="M60" s="7">
        <v>0.875</v>
      </c>
      <c r="N60" s="8" t="s">
        <v>28</v>
      </c>
      <c r="O60" s="5" t="s">
        <v>63</v>
      </c>
      <c r="P60">
        <f t="shared" si="1"/>
        <v>0</v>
      </c>
    </row>
    <row r="61" spans="1:16" x14ac:dyDescent="0.3">
      <c r="A61" s="43" t="s">
        <v>132</v>
      </c>
      <c r="B61" s="48" t="s">
        <v>29</v>
      </c>
      <c r="C61" s="48" t="s">
        <v>29</v>
      </c>
      <c r="D61" s="48" t="s">
        <v>29</v>
      </c>
      <c r="E61" s="48" t="s">
        <v>16</v>
      </c>
      <c r="F61" s="48" t="s">
        <v>29</v>
      </c>
      <c r="G61" s="48" t="s">
        <v>16</v>
      </c>
      <c r="H61" s="48" t="s">
        <v>16</v>
      </c>
      <c r="I61" s="48" t="s">
        <v>22</v>
      </c>
      <c r="J61" s="53">
        <v>0.48958333333333331</v>
      </c>
      <c r="K61" s="53">
        <v>0.72916666666666663</v>
      </c>
      <c r="L61" s="53">
        <v>0.60416666666666663</v>
      </c>
      <c r="M61" s="53">
        <v>0.8125</v>
      </c>
      <c r="N61" s="55" t="s">
        <v>31</v>
      </c>
      <c r="O61" s="48" t="s">
        <v>29</v>
      </c>
      <c r="P61">
        <f t="shared" ref="P61" si="2">IF(O61="OFF",0,
IF(VALUE(LEFT(O61,2))&lt;12,0,1))</f>
        <v>0</v>
      </c>
    </row>
    <row r="62" spans="1:16" x14ac:dyDescent="0.3">
      <c r="A62" s="43" t="s">
        <v>133</v>
      </c>
      <c r="B62" s="48" t="s">
        <v>62</v>
      </c>
      <c r="C62" s="48" t="s">
        <v>62</v>
      </c>
      <c r="D62" s="48" t="s">
        <v>62</v>
      </c>
      <c r="E62" s="48" t="s">
        <v>62</v>
      </c>
      <c r="F62" s="48" t="s">
        <v>16</v>
      </c>
      <c r="G62" s="48" t="s">
        <v>16</v>
      </c>
      <c r="H62" s="48" t="s">
        <v>16</v>
      </c>
      <c r="I62" s="48" t="s">
        <v>25</v>
      </c>
      <c r="J62" s="53">
        <v>0.375</v>
      </c>
      <c r="K62" s="53">
        <v>0.47916666666666669</v>
      </c>
      <c r="L62" s="53">
        <v>0.58333333333333337</v>
      </c>
      <c r="M62" s="53">
        <v>0.67708333333333337</v>
      </c>
      <c r="N62" s="55" t="s">
        <v>23</v>
      </c>
      <c r="O62" s="48" t="s">
        <v>62</v>
      </c>
    </row>
    <row r="63" spans="1:16" x14ac:dyDescent="0.3">
      <c r="A63" s="43" t="s">
        <v>134</v>
      </c>
      <c r="B63" s="48" t="s">
        <v>21</v>
      </c>
      <c r="C63" s="48" t="s">
        <v>16</v>
      </c>
      <c r="D63" s="48" t="s">
        <v>21</v>
      </c>
      <c r="E63" s="48" t="s">
        <v>21</v>
      </c>
      <c r="F63" s="48" t="s">
        <v>21</v>
      </c>
      <c r="G63" s="48" t="s">
        <v>16</v>
      </c>
      <c r="H63" s="48" t="s">
        <v>16</v>
      </c>
      <c r="I63" s="48" t="s">
        <v>34</v>
      </c>
      <c r="J63" s="53">
        <v>0.42708333333333331</v>
      </c>
      <c r="K63" s="53">
        <v>0.64583333333333337</v>
      </c>
      <c r="L63" s="53">
        <v>0.51041666666666663</v>
      </c>
      <c r="M63" s="53">
        <v>0.76041666666666663</v>
      </c>
      <c r="N63" s="55" t="s">
        <v>31</v>
      </c>
      <c r="O63" s="48" t="s">
        <v>21</v>
      </c>
    </row>
    <row r="64" spans="1:16" x14ac:dyDescent="0.3">
      <c r="A64" s="42" t="s">
        <v>140</v>
      </c>
      <c r="B64" s="1"/>
      <c r="C64" s="1"/>
      <c r="D64" s="1"/>
      <c r="E64" s="1"/>
      <c r="F64" s="1"/>
      <c r="G64" s="1"/>
      <c r="H64" s="1"/>
      <c r="I64" s="2"/>
      <c r="J64" s="3"/>
      <c r="K64" s="3"/>
      <c r="L64" s="3"/>
      <c r="M64" s="3"/>
      <c r="N64" s="4"/>
      <c r="O64" s="1"/>
    </row>
    <row r="65" spans="1:15" x14ac:dyDescent="0.3">
      <c r="A65" s="46" t="s">
        <v>138</v>
      </c>
      <c r="B65" s="42"/>
      <c r="C65" s="42"/>
      <c r="D65" s="42"/>
      <c r="E65" s="42"/>
      <c r="F65" s="42"/>
      <c r="G65" s="42"/>
      <c r="H65" s="42"/>
      <c r="I65" s="51"/>
      <c r="J65" s="42"/>
      <c r="K65" s="42"/>
      <c r="L65" s="42"/>
      <c r="M65" s="42"/>
      <c r="N65" s="42"/>
      <c r="O65" s="42"/>
    </row>
    <row r="66" spans="1:15" x14ac:dyDescent="0.3">
      <c r="A66" s="41" t="s">
        <v>139</v>
      </c>
    </row>
  </sheetData>
  <autoFilter ref="A1:O59" xr:uid="{B741E4C5-4AB3-495A-BC0E-EE9A88F70393}">
    <sortState xmlns:xlrd2="http://schemas.microsoft.com/office/spreadsheetml/2017/richdata2" ref="A2:O64">
      <sortCondition ref="A1:A59"/>
    </sortState>
  </autoFilter>
  <phoneticPr fontId="8" type="noConversion"/>
  <conditionalFormatting sqref="A2:I14 O2:O60 B15:I15 A16:I60 A64:I66 O64:O66">
    <cfRule type="cellIs" dxfId="7" priority="3" operator="equal">
      <formula>"OFF"</formula>
    </cfRule>
  </conditionalFormatting>
  <conditionalFormatting sqref="I56:I57">
    <cfRule type="cellIs" dxfId="6" priority="4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6"/>
  <sheetViews>
    <sheetView topLeftCell="A31" zoomScale="85" zoomScaleNormal="85" workbookViewId="0">
      <selection activeCell="I65" sqref="I65"/>
    </sheetView>
  </sheetViews>
  <sheetFormatPr defaultRowHeight="14.4" x14ac:dyDescent="0.3"/>
  <cols>
    <col min="1" max="1" width="30.33203125" customWidth="1"/>
    <col min="2" max="8" width="13.109375" customWidth="1"/>
    <col min="9" max="9" width="20.109375" bestFit="1" customWidth="1"/>
    <col min="14" max="14" width="18.5546875" bestFit="1" customWidth="1"/>
    <col min="15" max="15" width="13.33203125" bestFit="1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8" t="s">
        <v>64</v>
      </c>
      <c r="P1" s="38" t="s">
        <v>65</v>
      </c>
    </row>
    <row r="2" spans="1:16" x14ac:dyDescent="0.3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37">
        <f>MOD(EST!J2+TIME(12,0,0),1)</f>
        <v>0.625</v>
      </c>
      <c r="K2" s="37">
        <f>MOD(EST!K2+TIME(12,0,0),1)</f>
        <v>0.85416666666666674</v>
      </c>
      <c r="L2" s="37">
        <f>MOD(EST!L2+TIME(12,0,0),1)</f>
        <v>0.76041666666666674</v>
      </c>
      <c r="M2" s="37">
        <f>MOD(EST!M2+TIME(12,0,0),1)</f>
        <v>0.94791666666666674</v>
      </c>
      <c r="N2" t="str">
        <f>EST!N2</f>
        <v>Remmo Panaligan</v>
      </c>
      <c r="O2" t="s">
        <v>19</v>
      </c>
      <c r="P2">
        <f t="shared" ref="P2" si="1">IF(
TIMEVALUE(LEFT(O2,FIND("-",O2)-1))&gt;=12/24,
0,
1
)</f>
        <v>0</v>
      </c>
    </row>
    <row r="3" spans="1:16" x14ac:dyDescent="0.3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ref="I3:I63" si="2">_xlfn.TEXTJOIN(" - ",TRUE,
IF(B3="OFF","Mon",""),
IF(C3="OFF","Tue",""),
IF(D3="OFF","Wed",""),
IF(E3="OFF","Thu",""),
IF(F3="OFF","Fri",""),
IF(G3="OFF","Sat",""),
IF(H3="OFF","Sun",""))</f>
        <v>Fri - Sat - Sun</v>
      </c>
      <c r="J3" s="37">
        <f>MOD(EST!J3+TIME(12,0,0),1)</f>
        <v>0.11458333333333348</v>
      </c>
      <c r="K3" s="37">
        <f>MOD(EST!K3+TIME(12,0,0),1)</f>
        <v>0.3125</v>
      </c>
      <c r="L3" s="37">
        <f>MOD(EST!L3+TIME(12,0,0),1)</f>
        <v>0.1875</v>
      </c>
      <c r="M3" s="37">
        <f>MOD(EST!M3+TIME(12,0,0),1)</f>
        <v>0.41666666666666652</v>
      </c>
      <c r="N3" t="str">
        <f>EST!N3</f>
        <v>Remmo Panaligan</v>
      </c>
      <c r="O3" t="s">
        <v>141</v>
      </c>
      <c r="P3">
        <f t="shared" ref="P3:P63" si="3">IF(
TIMEVALUE(LEFT(O3,FIND("-",O3)-1))&gt;=12/24,
0,
1
)</f>
        <v>0</v>
      </c>
    </row>
    <row r="4" spans="1:16" x14ac:dyDescent="0.3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2"/>
        <v>Thu - Sat - Sun</v>
      </c>
      <c r="J4" s="37">
        <f>MOD(EST!J4+TIME(12,0,0),1)</f>
        <v>0.89583333333333326</v>
      </c>
      <c r="K4" s="37">
        <f>MOD(EST!K4+TIME(12,0,0),1)</f>
        <v>0.10416666666666652</v>
      </c>
      <c r="L4" s="37">
        <f>MOD(EST!L4+TIME(12,0,0),1)</f>
        <v>0.97916666666666674</v>
      </c>
      <c r="M4" s="37">
        <f>MOD(EST!M4+TIME(12,0,0),1)</f>
        <v>0.23958333333333348</v>
      </c>
      <c r="N4" t="str">
        <f>EST!N4</f>
        <v>Manilyn Abellar</v>
      </c>
      <c r="O4" t="s">
        <v>142</v>
      </c>
      <c r="P4">
        <f t="shared" si="3"/>
        <v>0</v>
      </c>
    </row>
    <row r="5" spans="1:16" x14ac:dyDescent="0.3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2"/>
        <v>Fri - Sat - Sun</v>
      </c>
      <c r="J5" s="37">
        <f>MOD(EST!J5+TIME(12,0,0),1)</f>
        <v>0.88541666666666674</v>
      </c>
      <c r="K5" s="37">
        <f>MOD(EST!K5+TIME(12,0,0),1)</f>
        <v>0.11458333333333348</v>
      </c>
      <c r="L5" s="37">
        <f>MOD(EST!L5+TIME(12,0,0),1)</f>
        <v>0.96875</v>
      </c>
      <c r="M5" s="37">
        <f>MOD(EST!M5+TIME(12,0,0),1)</f>
        <v>0.21875</v>
      </c>
      <c r="N5" t="str">
        <f>EST!N5</f>
        <v>Manilyn Abellar</v>
      </c>
      <c r="O5" t="s">
        <v>143</v>
      </c>
      <c r="P5">
        <f t="shared" si="3"/>
        <v>0</v>
      </c>
    </row>
    <row r="6" spans="1:16" x14ac:dyDescent="0.3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2"/>
        <v>Tue - Wed - Thu</v>
      </c>
      <c r="J6" s="37">
        <f>MOD(EST!J6+TIME(12,0,0),1)</f>
        <v>0.42708333333333348</v>
      </c>
      <c r="K6" s="37">
        <f>MOD(EST!K6+TIME(12,0,0),1)</f>
        <v>0.51041666666666663</v>
      </c>
      <c r="L6" s="37">
        <f>MOD(EST!L6+TIME(12,0,0),1)</f>
        <v>0.6875</v>
      </c>
      <c r="M6" s="37">
        <f>MOD(EST!M6+TIME(12,0,0),1)</f>
        <v>0.60416666666666663</v>
      </c>
      <c r="N6" t="str">
        <f>EST!N6</f>
        <v>Michael Dominguez</v>
      </c>
      <c r="O6" t="s">
        <v>144</v>
      </c>
      <c r="P6">
        <f t="shared" si="3"/>
        <v>0</v>
      </c>
    </row>
    <row r="7" spans="1:16" x14ac:dyDescent="0.3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2"/>
        <v>Wed - Thu - Sun</v>
      </c>
      <c r="J7" s="37">
        <f>MOD(EST!J7+TIME(12,0,0),1)</f>
        <v>0.95833333333333326</v>
      </c>
      <c r="K7" s="37">
        <f>MOD(EST!K7+TIME(12,0,0),1)</f>
        <v>5.2083333333333481E-2</v>
      </c>
      <c r="L7" s="37">
        <f>MOD(EST!L7+TIME(12,0,0),1)</f>
        <v>0.1875</v>
      </c>
      <c r="M7" s="37">
        <f>MOD(EST!M7+TIME(12,0,0),1)</f>
        <v>0.28125</v>
      </c>
      <c r="N7" t="str">
        <f>EST!N7</f>
        <v>Anmecha Valencia</v>
      </c>
      <c r="O7" t="s">
        <v>145</v>
      </c>
      <c r="P7">
        <f t="shared" si="3"/>
        <v>0</v>
      </c>
    </row>
    <row r="8" spans="1:16" x14ac:dyDescent="0.3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2"/>
        <v>Thu - Sat - Sun</v>
      </c>
      <c r="J8" s="37">
        <f>MOD(EST!J8+TIME(12,0,0),1)</f>
        <v>0.97916666666666674</v>
      </c>
      <c r="K8" s="37">
        <f>MOD(EST!K8+TIME(12,0,0),1)</f>
        <v>0.125</v>
      </c>
      <c r="L8" s="37">
        <f>MOD(EST!L8+TIME(12,0,0),1)</f>
        <v>5.2083333333333481E-2</v>
      </c>
      <c r="M8" s="37">
        <f>MOD(EST!M8+TIME(12,0,0),1)</f>
        <v>0.27083333333333348</v>
      </c>
      <c r="N8" t="str">
        <f>EST!N8</f>
        <v>Michael Dominguez</v>
      </c>
      <c r="O8" t="s">
        <v>146</v>
      </c>
      <c r="P8">
        <f t="shared" si="3"/>
        <v>0</v>
      </c>
    </row>
    <row r="9" spans="1:16" x14ac:dyDescent="0.3">
      <c r="A9" t="str">
        <f>EST!A9</f>
        <v>Carlos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2"/>
        <v>Tue - Wed - Thu</v>
      </c>
      <c r="J9" s="37">
        <f>MOD(EST!J9+TIME(12,0,0),1)</f>
        <v>8.3333333333333481E-2</v>
      </c>
      <c r="K9" s="37">
        <f>MOD(EST!K9+TIME(12,0,0),1)</f>
        <v>0.17708333333333348</v>
      </c>
      <c r="L9" s="37">
        <f>MOD(EST!L9+TIME(12,0,0),1)</f>
        <v>0.95833333333333326</v>
      </c>
      <c r="M9" s="37">
        <f>MOD(EST!M9+TIME(12,0,0),1)</f>
        <v>0.27083333333333348</v>
      </c>
      <c r="N9" t="str">
        <f>EST!N9</f>
        <v>Christopher Rodas</v>
      </c>
      <c r="O9" t="s">
        <v>147</v>
      </c>
      <c r="P9">
        <f t="shared" si="3"/>
        <v>0</v>
      </c>
    </row>
    <row r="10" spans="1:16" x14ac:dyDescent="0.3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2"/>
        <v>Tue - Sat - Sun</v>
      </c>
      <c r="J10" s="37">
        <f>MOD(EST!J10+TIME(12,0,0),1)</f>
        <v>0.96875</v>
      </c>
      <c r="K10" s="37">
        <f>MOD(EST!K10+TIME(12,0,0),1)</f>
        <v>6.25E-2</v>
      </c>
      <c r="L10" s="37">
        <f>MOD(EST!L10+TIME(12,0,0),1)</f>
        <v>0.25</v>
      </c>
      <c r="M10" s="37">
        <f>MOD(EST!M10+TIME(12,0,0),1)</f>
        <v>0.15625</v>
      </c>
      <c r="N10" t="str">
        <f>EST!N10</f>
        <v>Anmecha Valencia</v>
      </c>
      <c r="O10" t="s">
        <v>148</v>
      </c>
      <c r="P10">
        <f t="shared" si="3"/>
        <v>0</v>
      </c>
    </row>
    <row r="11" spans="1:16" x14ac:dyDescent="0.3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2"/>
        <v>Wed - Sat - Sun</v>
      </c>
      <c r="J11" s="37">
        <f>MOD(EST!J11+TIME(12,0,0),1)</f>
        <v>0.69791666666666663</v>
      </c>
      <c r="K11" s="37">
        <f>MOD(EST!K11+TIME(12,0,0),1)</f>
        <v>0.9375</v>
      </c>
      <c r="L11" s="37">
        <f>MOD(EST!L11+TIME(12,0,0),1)</f>
        <v>0.8125</v>
      </c>
      <c r="M11" s="37">
        <f>MOD(EST!M11+TIME(12,0,0),1)</f>
        <v>4.1666666666666519E-2</v>
      </c>
      <c r="N11" t="str">
        <f>EST!N11</f>
        <v>Anmecha Valencia</v>
      </c>
      <c r="O11" t="s">
        <v>149</v>
      </c>
      <c r="P11">
        <f t="shared" si="3"/>
        <v>0</v>
      </c>
    </row>
    <row r="12" spans="1:16" x14ac:dyDescent="0.3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2"/>
        <v>Mon - Sat - Sun</v>
      </c>
      <c r="J12" s="37">
        <f>MOD(EST!J12+TIME(12,0,0),1)</f>
        <v>0.95833333333333326</v>
      </c>
      <c r="K12" s="37">
        <f>MOD(EST!K12+TIME(12,0,0),1)</f>
        <v>4.1666666666666519E-2</v>
      </c>
      <c r="L12" s="37">
        <f>MOD(EST!L12+TIME(12,0,0),1)</f>
        <v>0.14583333333333348</v>
      </c>
      <c r="M12" s="37">
        <f>MOD(EST!M12+TIME(12,0,0),1)</f>
        <v>0.26041666666666652</v>
      </c>
      <c r="N12" t="str">
        <f>EST!N12</f>
        <v>Michael Dominguez</v>
      </c>
      <c r="O12" t="s">
        <v>150</v>
      </c>
      <c r="P12">
        <f t="shared" si="3"/>
        <v>0</v>
      </c>
    </row>
    <row r="13" spans="1:16" x14ac:dyDescent="0.3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2"/>
        <v>Fri - Sat - Sun</v>
      </c>
      <c r="J13" s="37">
        <f>MOD(EST!J13+TIME(12,0,0),1)</f>
        <v>0.89583333333333326</v>
      </c>
      <c r="K13" s="37">
        <f>MOD(EST!K13+TIME(12,0,0),1)</f>
        <v>0.10416666666666652</v>
      </c>
      <c r="L13" s="37">
        <f>MOD(EST!L13+TIME(12,0,0),1)</f>
        <v>0.97916666666666674</v>
      </c>
      <c r="M13" s="37">
        <f>MOD(EST!M13+TIME(12,0,0),1)</f>
        <v>0.22916666666666652</v>
      </c>
      <c r="N13" t="str">
        <f>EST!N13</f>
        <v>Christopher Rodas</v>
      </c>
      <c r="O13" t="s">
        <v>151</v>
      </c>
      <c r="P13">
        <f t="shared" si="3"/>
        <v>0</v>
      </c>
    </row>
    <row r="14" spans="1:16" x14ac:dyDescent="0.3">
      <c r="A14" t="str">
        <f>EST!A14</f>
        <v>Crisma Vic Melecio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07:00 - 18:00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OFF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OFF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OFF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07:00 - 18:00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07:00 - 18:00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07:00 - 18:00</v>
      </c>
      <c r="I14" t="str">
        <f t="shared" si="2"/>
        <v>Tue - Wed - Thu</v>
      </c>
      <c r="J14" s="37">
        <f>MOD(EST!J14+TIME(12,0,0),1)</f>
        <v>0.375</v>
      </c>
      <c r="K14" s="37">
        <f>MOD(EST!K14+TIME(12,0,0),1)</f>
        <v>0.45833333333333348</v>
      </c>
      <c r="L14" s="37">
        <f>MOD(EST!L14+TIME(12,0,0),1)</f>
        <v>0.5625</v>
      </c>
      <c r="M14" s="37">
        <f>MOD(EST!M14+TIME(12,0,0),1)</f>
        <v>0.6875</v>
      </c>
      <c r="N14" t="str">
        <f>EST!N14</f>
        <v>Manilyn Abellar</v>
      </c>
      <c r="O14" t="s">
        <v>152</v>
      </c>
      <c r="P14">
        <f t="shared" si="3"/>
        <v>0</v>
      </c>
    </row>
    <row r="15" spans="1:16" x14ac:dyDescent="0.3">
      <c r="A15" t="str">
        <f>EST!A15</f>
        <v>Cynthia Anosa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OFF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16:00 - 03:00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16:00 - 03:00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16:00 - 03:00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16:00 - 03:00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OFF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OFF</v>
      </c>
      <c r="I15" t="str">
        <f t="shared" si="2"/>
        <v>Mon - Sat - Sun</v>
      </c>
      <c r="J15" s="37">
        <f>MOD(EST!J15+TIME(12,0,0),1)</f>
        <v>0.73958333333333337</v>
      </c>
      <c r="K15" s="37">
        <f>MOD(EST!K15+TIME(12,0,0),1)</f>
        <v>2.0833333333333481E-2</v>
      </c>
      <c r="L15" s="37">
        <f>MOD(EST!L15+TIME(12,0,0),1)</f>
        <v>0.85416666666666674</v>
      </c>
      <c r="M15" s="37">
        <f>MOD(EST!M15+TIME(12,0,0),1)</f>
        <v>8.3333333333333481E-2</v>
      </c>
      <c r="N15" t="str">
        <f>EST!N15</f>
        <v>Manilyn Abellar</v>
      </c>
      <c r="O15" t="s">
        <v>153</v>
      </c>
      <c r="P15">
        <f t="shared" si="3"/>
        <v>0</v>
      </c>
    </row>
    <row r="16" spans="1:16" x14ac:dyDescent="0.3">
      <c r="A16" t="str">
        <f>EST!A16</f>
        <v>Dairenn Angel Adarne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20:00 - 07:00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OFF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OFF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OFF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20:00 - 07:00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20:00 - 07:00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20:00 - 07:00</v>
      </c>
      <c r="I16" t="str">
        <f t="shared" si="2"/>
        <v>Tue - Wed - Thu</v>
      </c>
      <c r="J16" s="37">
        <f>MOD(EST!J16+TIME(12,0,0),1)</f>
        <v>0.9375</v>
      </c>
      <c r="K16" s="37">
        <f>MOD(EST!K16+TIME(12,0,0),1)</f>
        <v>0.14583333333333348</v>
      </c>
      <c r="L16" s="37">
        <f>MOD(EST!L16+TIME(12,0,0),1)</f>
        <v>2.0833333333333481E-2</v>
      </c>
      <c r="M16" s="37">
        <f>MOD(EST!M16+TIME(12,0,0),1)</f>
        <v>0.25</v>
      </c>
      <c r="N16" t="str">
        <f>EST!N16</f>
        <v>Manilyn Abellar</v>
      </c>
      <c r="O16" t="s">
        <v>154</v>
      </c>
      <c r="P16">
        <f t="shared" si="3"/>
        <v>0</v>
      </c>
    </row>
    <row r="17" spans="1:16" x14ac:dyDescent="0.3">
      <c r="A17" t="str">
        <f>EST!A17</f>
        <v>Dharlyn Grej Estillore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23:00 - 10:00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23:00 - 10:00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23:00 - 10:00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23:00 - 10:00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OFF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2"/>
        <v>Fri - Sat - Sun</v>
      </c>
      <c r="J17" s="37">
        <f>MOD(EST!J17+TIME(12,0,0),1)</f>
        <v>4.1666666666666519E-2</v>
      </c>
      <c r="K17" s="37">
        <f>MOD(EST!K17+TIME(12,0,0),1)</f>
        <v>0.13541666666666652</v>
      </c>
      <c r="L17" s="37">
        <f>MOD(EST!L17+TIME(12,0,0),1)</f>
        <v>0.22916666666666652</v>
      </c>
      <c r="M17" s="37">
        <f>MOD(EST!M17+TIME(12,0,0),1)</f>
        <v>0.35416666666666652</v>
      </c>
      <c r="N17" t="str">
        <f>EST!N17</f>
        <v>Anmecha Valencia</v>
      </c>
      <c r="O17" t="s">
        <v>155</v>
      </c>
      <c r="P17">
        <f t="shared" si="3"/>
        <v>0</v>
      </c>
    </row>
    <row r="18" spans="1:16" x14ac:dyDescent="0.3">
      <c r="A18" t="str">
        <f>EST!A18</f>
        <v>Eduardo Jacinto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21:00 - 08:00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OFF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2"/>
        <v>Thu - Sat - Sun</v>
      </c>
      <c r="J18" s="37">
        <f>MOD(EST!J18+TIME(12,0,0),1)</f>
        <v>0.95833333333333326</v>
      </c>
      <c r="K18" s="37">
        <f>MOD(EST!K18+TIME(12,0,0),1)</f>
        <v>7.2916666666666519E-2</v>
      </c>
      <c r="L18" s="37">
        <f>MOD(EST!L18+TIME(12,0,0),1)</f>
        <v>0.14583333333333348</v>
      </c>
      <c r="M18" s="37">
        <f>MOD(EST!M18+TIME(12,0,0),1)</f>
        <v>0.27083333333333348</v>
      </c>
      <c r="N18" t="str">
        <f>EST!N18</f>
        <v>Anmecha Valencia</v>
      </c>
      <c r="O18" t="s">
        <v>156</v>
      </c>
      <c r="P18">
        <f t="shared" si="3"/>
        <v>0</v>
      </c>
    </row>
    <row r="19" spans="1:16" x14ac:dyDescent="0.3">
      <c r="A19" t="str">
        <f>EST!A19</f>
        <v>Elijah Jeremy Racca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21:00 - 08:00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21:00 - 08:00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21:00 - 08:00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21:00 - 08:00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2"/>
        <v>Wed - Sat - Sun</v>
      </c>
      <c r="J19" s="37">
        <f>MOD(EST!J19+TIME(12,0,0),1)</f>
        <v>0.98958333333333326</v>
      </c>
      <c r="K19" s="37">
        <f>MOD(EST!K19+TIME(12,0,0),1)</f>
        <v>7.2916666666666519E-2</v>
      </c>
      <c r="L19" s="37">
        <f>MOD(EST!L19+TIME(12,0,0),1)</f>
        <v>0.16666666666666652</v>
      </c>
      <c r="M19" s="37">
        <f>MOD(EST!M19+TIME(12,0,0),1)</f>
        <v>0.25</v>
      </c>
      <c r="N19" t="str">
        <f>EST!N19</f>
        <v>Anmecha Valencia</v>
      </c>
      <c r="O19" t="s">
        <v>157</v>
      </c>
      <c r="P19">
        <f t="shared" si="3"/>
        <v>0</v>
      </c>
    </row>
    <row r="20" spans="1:16" x14ac:dyDescent="0.3">
      <c r="A20" t="str">
        <f>EST!A20</f>
        <v>Eljohn Mar Cabalida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20:00 - 07:00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20:00 - 07:00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OFF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20:00 - 07:00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20:00 - 07:00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OFF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2"/>
        <v>Wed - Sat - Sun</v>
      </c>
      <c r="J20" s="37">
        <f>MOD(EST!J20+TIME(12,0,0),1)</f>
        <v>0.9375</v>
      </c>
      <c r="K20" s="37">
        <f>MOD(EST!K20+TIME(12,0,0),1)</f>
        <v>0.15625</v>
      </c>
      <c r="L20" s="37">
        <f>MOD(EST!L20+TIME(12,0,0),1)</f>
        <v>3.125E-2</v>
      </c>
      <c r="M20" s="37">
        <f>MOD(EST!M20+TIME(12,0,0),1)</f>
        <v>0.25</v>
      </c>
      <c r="N20" t="str">
        <f>EST!N20</f>
        <v>Michael Dominguez</v>
      </c>
      <c r="O20" t="s">
        <v>158</v>
      </c>
      <c r="P20">
        <f t="shared" si="3"/>
        <v>0</v>
      </c>
    </row>
    <row r="21" spans="1:16" x14ac:dyDescent="0.3">
      <c r="A21" t="str">
        <f>EST!A21</f>
        <v>France Bajao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06:00 - 17:00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06:00 - 17:00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06:00 - 17:00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OFF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06:00 - 17:00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2"/>
        <v>Thu - Fri - Sun</v>
      </c>
      <c r="J21" s="37">
        <f>MOD(EST!J21+TIME(12,0,0),1)</f>
        <v>0.39583333333333348</v>
      </c>
      <c r="K21" s="37">
        <f>MOD(EST!K21+TIME(12,0,0),1)</f>
        <v>0.60416666666666663</v>
      </c>
      <c r="L21" s="37">
        <f>MOD(EST!L21+TIME(12,0,0),1)</f>
        <v>0.47916666666666652</v>
      </c>
      <c r="M21" s="37">
        <f>MOD(EST!M21+TIME(12,0,0),1)</f>
        <v>0.6875</v>
      </c>
      <c r="N21" t="str">
        <f>EST!N21</f>
        <v>Christopher Rodas</v>
      </c>
      <c r="O21" t="s">
        <v>159</v>
      </c>
      <c r="P21">
        <f t="shared" si="3"/>
        <v>0</v>
      </c>
    </row>
    <row r="22" spans="1:16" x14ac:dyDescent="0.3">
      <c r="A22" t="str">
        <f>EST!A22</f>
        <v>Giselle Florendo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18:00 - 05:00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18:00 - 05:00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18:00 - 05:00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18:00 - 05:00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OFF</v>
      </c>
      <c r="I22" t="str">
        <f t="shared" si="2"/>
        <v>Fri - Sat - Sun</v>
      </c>
      <c r="J22" s="37">
        <f>MOD(EST!J22+TIME(12,0,0),1)</f>
        <v>0.84375</v>
      </c>
      <c r="K22" s="37">
        <f>MOD(EST!K22+TIME(12,0,0),1)</f>
        <v>6.25E-2</v>
      </c>
      <c r="L22" s="37">
        <f>MOD(EST!L22+TIME(12,0,0),1)</f>
        <v>0.9375</v>
      </c>
      <c r="M22" s="37">
        <f>MOD(EST!M22+TIME(12,0,0),1)</f>
        <v>0.15625</v>
      </c>
      <c r="N22" t="str">
        <f>EST!N22</f>
        <v>Remmo Panaligan</v>
      </c>
      <c r="O22" t="s">
        <v>160</v>
      </c>
      <c r="P22">
        <f t="shared" si="3"/>
        <v>0</v>
      </c>
    </row>
    <row r="23" spans="1:16" x14ac:dyDescent="0.3">
      <c r="A23" t="str">
        <f>EST!A23</f>
        <v>Jackyleen Caballero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17:00 - 04:00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17:00 - 04:00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17:00 - 04:00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OFF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17:00 - 04:00</v>
      </c>
      <c r="I23" t="str">
        <f t="shared" si="2"/>
        <v>Thu - Fri - Sat</v>
      </c>
      <c r="J23" s="37">
        <f>MOD(EST!J23+TIME(12,0,0),1)</f>
        <v>0.80208333333333326</v>
      </c>
      <c r="K23" s="37">
        <f>MOD(EST!K23+TIME(12,0,0),1)</f>
        <v>4.1666666666666519E-2</v>
      </c>
      <c r="L23" s="37">
        <f>MOD(EST!L23+TIME(12,0,0),1)</f>
        <v>0.91666666666666674</v>
      </c>
      <c r="M23" s="37">
        <f>MOD(EST!M23+TIME(12,0,0),1)</f>
        <v>0.14583333333333348</v>
      </c>
      <c r="N23" t="str">
        <f>EST!N23</f>
        <v>Christopher Rodas</v>
      </c>
      <c r="O23" t="s">
        <v>161</v>
      </c>
      <c r="P23">
        <f t="shared" si="3"/>
        <v>0</v>
      </c>
    </row>
    <row r="24" spans="1:16" x14ac:dyDescent="0.3">
      <c r="A24" t="str">
        <f>EST!A24</f>
        <v>James Kim Malatag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22:00 - 09:00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22:00 - 09:00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22:00 - 09:00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22:00 - 09:00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OFF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2"/>
        <v>Fri - Sat - Sun</v>
      </c>
      <c r="J24" s="37">
        <f>MOD(EST!J24+TIME(12,0,0),1)</f>
        <v>1.0416666666666519E-2</v>
      </c>
      <c r="K24" s="37">
        <f>MOD(EST!K24+TIME(12,0,0),1)</f>
        <v>9.375E-2</v>
      </c>
      <c r="L24" s="37">
        <f>MOD(EST!L24+TIME(12,0,0),1)</f>
        <v>0.1875</v>
      </c>
      <c r="M24" s="37">
        <f>MOD(EST!M24+TIME(12,0,0),1)</f>
        <v>0.3125</v>
      </c>
      <c r="N24" t="str">
        <f>EST!N24</f>
        <v>Michael Dominguez</v>
      </c>
      <c r="O24" t="s">
        <v>162</v>
      </c>
      <c r="P24">
        <f t="shared" si="3"/>
        <v>0</v>
      </c>
    </row>
    <row r="25" spans="1:16" x14ac:dyDescent="0.3">
      <c r="A25" t="str">
        <f>EST!A25</f>
        <v>James Matthew Santos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20:00 - 07:00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20:00 - 07:00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OFF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20:00 - 07:00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20:00 - 07:00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2"/>
        <v>Wed - Sat - Sun</v>
      </c>
      <c r="J25" s="37">
        <f>MOD(EST!J25+TIME(12,0,0),1)</f>
        <v>0.92708333333333326</v>
      </c>
      <c r="K25" s="37">
        <f>MOD(EST!K25+TIME(12,0,0),1)</f>
        <v>0.15625</v>
      </c>
      <c r="L25" s="37">
        <f>MOD(EST!L25+TIME(12,0,0),1)</f>
        <v>3.125E-2</v>
      </c>
      <c r="M25" s="37">
        <f>MOD(EST!M25+TIME(12,0,0),1)</f>
        <v>0.25</v>
      </c>
      <c r="N25" t="str">
        <f>EST!N25</f>
        <v>Remmo Panaligan</v>
      </c>
      <c r="O25" t="s">
        <v>163</v>
      </c>
      <c r="P25">
        <f t="shared" si="3"/>
        <v>0</v>
      </c>
    </row>
    <row r="26" spans="1:16" x14ac:dyDescent="0.3">
      <c r="A26" t="str">
        <f>EST!A26</f>
        <v>Jayson Pescadero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23:00 - 10:00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23:00 - 10:00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23:00 - 10:00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23:00 - 10:00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OFF</v>
      </c>
      <c r="I26" t="str">
        <f t="shared" si="2"/>
        <v>Fri - Sat - Sun</v>
      </c>
      <c r="J26" s="37">
        <f>MOD(EST!J26+TIME(12,0,0),1)</f>
        <v>4.1666666666666519E-2</v>
      </c>
      <c r="K26" s="37">
        <f>MOD(EST!K26+TIME(12,0,0),1)</f>
        <v>0.26041666666666652</v>
      </c>
      <c r="L26" s="37">
        <f>MOD(EST!L26+TIME(12,0,0),1)</f>
        <v>0.13541666666666652</v>
      </c>
      <c r="M26" s="37">
        <f>MOD(EST!M26+TIME(12,0,0),1)</f>
        <v>0.36458333333333348</v>
      </c>
      <c r="N26" t="str">
        <f>EST!N26</f>
        <v>Remmo Panaligan</v>
      </c>
      <c r="O26" t="s">
        <v>164</v>
      </c>
      <c r="P26">
        <f t="shared" si="3"/>
        <v>0</v>
      </c>
    </row>
    <row r="27" spans="1:16" x14ac:dyDescent="0.3">
      <c r="A27" t="str">
        <f>EST!A27</f>
        <v>Jeffryl Joe Pardillo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14:00 - 01:00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14:00 - 01:00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14:00 - 01:00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OFF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OFF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14:00 - 01:00</v>
      </c>
      <c r="I27" t="str">
        <f t="shared" si="2"/>
        <v>Thu - Fri - Sat</v>
      </c>
      <c r="J27" s="37">
        <f>MOD(EST!J27+TIME(12,0,0),1)</f>
        <v>0.65625</v>
      </c>
      <c r="K27" s="37">
        <f>MOD(EST!K27+TIME(12,0,0),1)</f>
        <v>0.875</v>
      </c>
      <c r="L27" s="37">
        <f>MOD(EST!L27+TIME(12,0,0),1)</f>
        <v>0.75</v>
      </c>
      <c r="M27" s="37">
        <f>MOD(EST!M27+TIME(12,0,0),1)</f>
        <v>0.97916666666666674</v>
      </c>
      <c r="N27" t="str">
        <f>EST!N27</f>
        <v>Christopher Rodas</v>
      </c>
      <c r="O27" t="s">
        <v>165</v>
      </c>
      <c r="P27">
        <f t="shared" si="3"/>
        <v>0</v>
      </c>
    </row>
    <row r="28" spans="1:16" x14ac:dyDescent="0.3">
      <c r="A28" t="str">
        <f>EST!A28</f>
        <v>Jesse Owen Rama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OFF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10:00 - 21:00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10:00 - 21:00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OFF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10:00 - 21:00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10:00 - 21:00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2"/>
        <v>Mon - Thu - Sun</v>
      </c>
      <c r="J28" s="37">
        <f>MOD(EST!J28+TIME(12,0,0),1)</f>
        <v>0.66666666666666663</v>
      </c>
      <c r="K28" s="37">
        <f>MOD(EST!K28+TIME(12,0,0),1)</f>
        <v>0.76041666666666674</v>
      </c>
      <c r="L28" s="37">
        <f>MOD(EST!L28+TIME(12,0,0),1)</f>
        <v>0.54166666666666663</v>
      </c>
      <c r="M28" s="37">
        <f>MOD(EST!M28+TIME(12,0,0),1)</f>
        <v>0.83333333333333326</v>
      </c>
      <c r="N28" t="str">
        <f>EST!N28</f>
        <v>Manilyn Abellar</v>
      </c>
      <c r="O28" t="s">
        <v>166</v>
      </c>
      <c r="P28">
        <f t="shared" si="3"/>
        <v>0</v>
      </c>
    </row>
    <row r="29" spans="1:16" x14ac:dyDescent="0.3">
      <c r="A29" t="str">
        <f>EST!A29</f>
        <v>Jeycel Roxas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20:00 - 07:00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20:00 - 07:00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20:00 - 07:00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20:00 - 07:00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OFF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OFF</v>
      </c>
      <c r="I29" t="str">
        <f t="shared" si="2"/>
        <v>Tue - Sat - Sun</v>
      </c>
      <c r="J29" s="37">
        <f>MOD(EST!J29+TIME(12,0,0),1)</f>
        <v>0.91666666666666674</v>
      </c>
      <c r="K29" s="37">
        <f>MOD(EST!K29+TIME(12,0,0),1)</f>
        <v>0.14583333333333348</v>
      </c>
      <c r="L29" s="37">
        <f>MOD(EST!L29+TIME(12,0,0),1)</f>
        <v>0</v>
      </c>
      <c r="M29" s="37">
        <f>MOD(EST!M29+TIME(12,0,0),1)</f>
        <v>0.25</v>
      </c>
      <c r="N29" t="str">
        <f>EST!N29</f>
        <v>Manilyn Abellar</v>
      </c>
      <c r="O29" t="s">
        <v>167</v>
      </c>
      <c r="P29">
        <f t="shared" si="3"/>
        <v>0</v>
      </c>
    </row>
    <row r="30" spans="1:16" x14ac:dyDescent="0.3">
      <c r="A30" t="str">
        <f>EST!A30</f>
        <v>Jhanelle Jane Didato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OFF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OFF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00:00 - 11:00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00:00 - 11:00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00:00 - 11:00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00:00 - 11:00</v>
      </c>
      <c r="I30" t="str">
        <f t="shared" si="2"/>
        <v>Mon - Tue - Wed</v>
      </c>
      <c r="J30" s="37">
        <f>MOD(EST!J30+TIME(12,0,0),1)</f>
        <v>8.3333333333333481E-2</v>
      </c>
      <c r="K30" s="37">
        <f>MOD(EST!K30+TIME(12,0,0),1)</f>
        <v>0.3125</v>
      </c>
      <c r="L30" s="37">
        <f>MOD(EST!L30+TIME(12,0,0),1)</f>
        <v>0.17708333333333348</v>
      </c>
      <c r="M30" s="37">
        <f>MOD(EST!M30+TIME(12,0,0),1)</f>
        <v>0.41666666666666652</v>
      </c>
      <c r="N30" t="str">
        <f>EST!N30</f>
        <v>Manilyn Abellar</v>
      </c>
      <c r="O30" t="s">
        <v>168</v>
      </c>
      <c r="P30">
        <f t="shared" si="3"/>
        <v>0</v>
      </c>
    </row>
    <row r="31" spans="1:16" x14ac:dyDescent="0.3">
      <c r="A31" t="str">
        <f>EST!A31</f>
        <v>Jhonrey Jotojot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OFF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17:00 - 04:00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17:00 - 04:00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17:00 - 04:00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17:00 - 04:00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OFF</v>
      </c>
      <c r="I31" t="str">
        <f t="shared" si="2"/>
        <v>Mon - Sat - Sun</v>
      </c>
      <c r="J31" s="37">
        <f>MOD(EST!J31+TIME(12,0,0),1)</f>
        <v>0.80208333333333326</v>
      </c>
      <c r="K31" s="37">
        <f>MOD(EST!K31+TIME(12,0,0),1)</f>
        <v>0.96875</v>
      </c>
      <c r="L31" s="37">
        <f>MOD(EST!L31+TIME(12,0,0),1)</f>
        <v>0.88541666666666674</v>
      </c>
      <c r="M31" s="37">
        <f>MOD(EST!M31+TIME(12,0,0),1)</f>
        <v>8.3333333333333481E-2</v>
      </c>
      <c r="N31" t="str">
        <f>EST!N31</f>
        <v>Manilyn Abellar</v>
      </c>
      <c r="O31" t="s">
        <v>169</v>
      </c>
      <c r="P31">
        <f t="shared" si="3"/>
        <v>0</v>
      </c>
    </row>
    <row r="32" spans="1:16" x14ac:dyDescent="0.3">
      <c r="A32" t="str">
        <f>EST!A32</f>
        <v>Jieleen Villegas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09:00 - 20:00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09:00 - 20:00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09:00 - 20:00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OFF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09:00 - 20:00</v>
      </c>
      <c r="I32" t="str">
        <f t="shared" si="2"/>
        <v>Thu - Fri - Sat</v>
      </c>
      <c r="J32" s="37">
        <f>MOD(EST!J32+TIME(12,0,0),1)</f>
        <v>0.45833333333333348</v>
      </c>
      <c r="K32" s="37">
        <f>MOD(EST!K32+TIME(12,0,0),1)</f>
        <v>0.5625</v>
      </c>
      <c r="L32" s="37">
        <f>MOD(EST!L32+TIME(12,0,0),1)</f>
        <v>0.66666666666666663</v>
      </c>
      <c r="M32" s="37">
        <f>MOD(EST!M32+TIME(12,0,0),1)</f>
        <v>0.79166666666666674</v>
      </c>
      <c r="N32" t="str">
        <f>EST!N32</f>
        <v>Anmecha Valencia</v>
      </c>
      <c r="O32" t="s">
        <v>170</v>
      </c>
      <c r="P32">
        <f t="shared" si="3"/>
        <v>0</v>
      </c>
    </row>
    <row r="33" spans="1:16" x14ac:dyDescent="0.3">
      <c r="A33" t="str">
        <f>EST!A33</f>
        <v>Joanah Carl Anoling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OFF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OFF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12:00 - 23:00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12:00 - 23:00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12:00 - 23:00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12:00 - 23:00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2"/>
        <v>Mon - Tue - Sun</v>
      </c>
      <c r="J33" s="37">
        <f>MOD(EST!J33+TIME(12,0,0),1)</f>
        <v>0.84375</v>
      </c>
      <c r="K33" s="37">
        <f>MOD(EST!K33+TIME(12,0,0),1)</f>
        <v>0.66666666666666663</v>
      </c>
      <c r="L33" s="37">
        <f>MOD(EST!L33+TIME(12,0,0),1)</f>
        <v>0.72916666666666663</v>
      </c>
      <c r="M33" s="37">
        <f>MOD(EST!M33+TIME(12,0,0),1)</f>
        <v>0.92708333333333326</v>
      </c>
      <c r="N33" t="str">
        <f>EST!N33</f>
        <v>Manilyn Abellar</v>
      </c>
      <c r="O33" t="s">
        <v>171</v>
      </c>
      <c r="P33">
        <f t="shared" si="3"/>
        <v>0</v>
      </c>
    </row>
    <row r="34" spans="1:16" x14ac:dyDescent="0.3">
      <c r="A34" t="str">
        <f>EST!A34</f>
        <v>Joemie Ann Benedicto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18:00 - 05:00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18:00 - 05:00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18:00 - 05:00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18:00 - 05:00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OFF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si="2"/>
        <v>Fri - Sat - Sun</v>
      </c>
      <c r="J34" s="37">
        <f>MOD(EST!J34+TIME(12,0,0),1)</f>
        <v>0.83333333333333326</v>
      </c>
      <c r="K34" s="37">
        <f>MOD(EST!K34+TIME(12,0,0),1)</f>
        <v>5.2083333333333481E-2</v>
      </c>
      <c r="L34" s="37">
        <f>MOD(EST!L34+TIME(12,0,0),1)</f>
        <v>0.92708333333333326</v>
      </c>
      <c r="M34" s="37">
        <f>MOD(EST!M34+TIME(12,0,0),1)</f>
        <v>0.14583333333333348</v>
      </c>
      <c r="N34" t="str">
        <f>EST!N34</f>
        <v>Remmo Panaligan</v>
      </c>
      <c r="O34" t="s">
        <v>172</v>
      </c>
      <c r="P34">
        <f t="shared" si="3"/>
        <v>0</v>
      </c>
    </row>
    <row r="35" spans="1:16" x14ac:dyDescent="0.3">
      <c r="A35" t="str">
        <f>EST!A35</f>
        <v>Joseph Brian Nagor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09:00 - 20:00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09:00 - 20:00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OFF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OFF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09:00 - 20:00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09:00 - 20:00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Wed - Thu - Sun</v>
      </c>
      <c r="J35" s="37">
        <f>MOD(EST!J35+TIME(12,0,0),1)</f>
        <v>0.625</v>
      </c>
      <c r="K35" s="37">
        <f>MOD(EST!K35+TIME(12,0,0),1)</f>
        <v>0.71875</v>
      </c>
      <c r="L35" s="37">
        <f>MOD(EST!L35+TIME(12,0,0),1)</f>
        <v>0.5</v>
      </c>
      <c r="M35" s="37">
        <f>MOD(EST!M35+TIME(12,0,0),1)</f>
        <v>0.79166666666666674</v>
      </c>
      <c r="N35" t="str">
        <f>EST!N35</f>
        <v>Remmo Panaligan</v>
      </c>
      <c r="O35" t="s">
        <v>173</v>
      </c>
      <c r="P35">
        <f t="shared" si="3"/>
        <v>0</v>
      </c>
    </row>
    <row r="36" spans="1:16" x14ac:dyDescent="0.3">
      <c r="A36" t="str">
        <f>EST!A36</f>
        <v>Josephraim Lamoste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OFF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01:00 - 12:00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01:00 - 12:00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01:00 - 12:00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01:00 - 12:00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Mon - Sat - Sun</v>
      </c>
      <c r="J36" s="37">
        <f>MOD(EST!J36+TIME(12,0,0),1)</f>
        <v>0.125</v>
      </c>
      <c r="K36" s="37">
        <f>MOD(EST!K36+TIME(12,0,0),1)</f>
        <v>0.375</v>
      </c>
      <c r="L36" s="37">
        <f>MOD(EST!L36+TIME(12,0,0),1)</f>
        <v>0.25</v>
      </c>
      <c r="M36" s="37">
        <f>MOD(EST!M36+TIME(12,0,0),1)</f>
        <v>0.47916666666666652</v>
      </c>
      <c r="N36" t="str">
        <f>EST!N36</f>
        <v>Manilyn Abellar</v>
      </c>
      <c r="O36" t="s">
        <v>174</v>
      </c>
      <c r="P36">
        <f t="shared" si="3"/>
        <v>0</v>
      </c>
    </row>
    <row r="37" spans="1:16" x14ac:dyDescent="0.3">
      <c r="A37" t="str">
        <f>EST!A37</f>
        <v>Joshua Bagaporo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OFF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18:00 - 05:00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18:00 - 05:00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18:00 - 05:00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18:00 - 05:00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Mon - Sat - Sun</v>
      </c>
      <c r="J37" s="37">
        <f>MOD(EST!J37+TIME(12,0,0),1)</f>
        <v>0.84375</v>
      </c>
      <c r="K37" s="37">
        <f>MOD(EST!K37+TIME(12,0,0),1)</f>
        <v>3.125E-2</v>
      </c>
      <c r="L37" s="37">
        <f>MOD(EST!L37+TIME(12,0,0),1)</f>
        <v>0.91666666666666674</v>
      </c>
      <c r="M37" s="37">
        <f>MOD(EST!M37+TIME(12,0,0),1)</f>
        <v>0.125</v>
      </c>
      <c r="N37" t="str">
        <f>EST!N37</f>
        <v>Christopher Rodas</v>
      </c>
      <c r="O37" t="s">
        <v>175</v>
      </c>
      <c r="P37">
        <f t="shared" si="3"/>
        <v>0</v>
      </c>
    </row>
    <row r="38" spans="1:16" x14ac:dyDescent="0.3">
      <c r="A38" t="str">
        <f>EST!A38</f>
        <v>Joshua Mendoza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21:00 - 08:00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21:00 - 08:00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21:00 - 08:00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OFF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21:00 - 08:00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OFF</v>
      </c>
      <c r="I38" t="str">
        <f t="shared" si="2"/>
        <v>Thu - Sat - Sun</v>
      </c>
      <c r="J38" s="37">
        <f>MOD(EST!J38+TIME(12,0,0),1)</f>
        <v>0.95833333333333326</v>
      </c>
      <c r="K38" s="37">
        <f>MOD(EST!K38+TIME(12,0,0),1)</f>
        <v>5.2083333333333481E-2</v>
      </c>
      <c r="L38" s="37">
        <f>MOD(EST!L38+TIME(12,0,0),1)</f>
        <v>0.125</v>
      </c>
      <c r="M38" s="37">
        <f>MOD(EST!M38+TIME(12,0,0),1)</f>
        <v>0.27083333333333348</v>
      </c>
      <c r="N38" t="str">
        <f>EST!N38</f>
        <v>Anmecha Valencia</v>
      </c>
      <c r="O38" t="s">
        <v>176</v>
      </c>
      <c r="P38">
        <f t="shared" si="3"/>
        <v>0</v>
      </c>
    </row>
    <row r="39" spans="1:16" x14ac:dyDescent="0.3">
      <c r="A39" t="str">
        <f>EST!A39</f>
        <v>Juvy Labong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OFF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20:00 - 07:00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Tue - Sat - Sun</v>
      </c>
      <c r="J39" s="37">
        <f>MOD(EST!J39+TIME(12,0,0),1)</f>
        <v>0.92708333333333326</v>
      </c>
      <c r="K39" s="37">
        <f>MOD(EST!K39+TIME(12,0,0),1)</f>
        <v>0.13541666666666652</v>
      </c>
      <c r="L39" s="37">
        <f>MOD(EST!L39+TIME(12,0,0),1)</f>
        <v>1.0416666666666519E-2</v>
      </c>
      <c r="M39" s="37">
        <f>MOD(EST!M39+TIME(12,0,0),1)</f>
        <v>0.23958333333333348</v>
      </c>
      <c r="N39" t="str">
        <f>EST!N39</f>
        <v>Remmo Panaligan</v>
      </c>
      <c r="O39" t="s">
        <v>177</v>
      </c>
      <c r="P39">
        <f t="shared" si="3"/>
        <v>0</v>
      </c>
    </row>
    <row r="40" spans="1:16" x14ac:dyDescent="0.3">
      <c r="A40" t="str">
        <f>EST!A40</f>
        <v>Kathleen Melecio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10:30 - 21:30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10:30 - 21:30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10:30 - 21:30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OFF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OFF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10:30 - 21:30</v>
      </c>
      <c r="I40" t="str">
        <f t="shared" si="2"/>
        <v>Mon - Fri - Sat</v>
      </c>
      <c r="J40" s="37">
        <f>MOD(EST!J40+TIME(12,0,0),1)</f>
        <v>0.55208333333333337</v>
      </c>
      <c r="K40" s="37">
        <f>MOD(EST!K40+TIME(12,0,0),1)</f>
        <v>0.77083333333333326</v>
      </c>
      <c r="L40" s="37">
        <f>MOD(EST!L40+TIME(12,0,0),1)</f>
        <v>0.625</v>
      </c>
      <c r="M40" s="37">
        <f>MOD(EST!M40+TIME(12,0,0),1)</f>
        <v>0.85416666666666674</v>
      </c>
      <c r="N40" t="str">
        <f>EST!N40</f>
        <v>Christopher Rodas</v>
      </c>
      <c r="O40" t="s">
        <v>178</v>
      </c>
      <c r="P40">
        <f t="shared" si="3"/>
        <v>0</v>
      </c>
    </row>
    <row r="41" spans="1:16" x14ac:dyDescent="0.3">
      <c r="A41" t="str">
        <f>EST!A41</f>
        <v>Kenneth Oribello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7">
        <f>MOD(EST!J41+TIME(12,0,0),1)</f>
        <v>0.9375</v>
      </c>
      <c r="K41" s="37">
        <f>MOD(EST!K41+TIME(12,0,0),1)</f>
        <v>0.1875</v>
      </c>
      <c r="L41" s="37">
        <f>MOD(EST!L41+TIME(12,0,0),1)</f>
        <v>6.25E-2</v>
      </c>
      <c r="M41" s="37">
        <f>MOD(EST!M41+TIME(12,0,0),1)</f>
        <v>0.25</v>
      </c>
      <c r="N41" t="str">
        <f>EST!N41</f>
        <v>Michael Dominguez</v>
      </c>
      <c r="O41" t="s">
        <v>179</v>
      </c>
      <c r="P41">
        <f t="shared" si="3"/>
        <v>0</v>
      </c>
    </row>
    <row r="42" spans="1:16" x14ac:dyDescent="0.3">
      <c r="A42" t="str">
        <f>EST!A42</f>
        <v>Kirby Santos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OFF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OFF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05:00 - 16:00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05:00 - 16:00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05:00 - 16:00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05:00 - 16:00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Mon - Tue - Sun</v>
      </c>
      <c r="J42" s="37">
        <f>MOD(EST!J42+TIME(12,0,0),1)</f>
        <v>0.3125</v>
      </c>
      <c r="K42" s="37">
        <f>MOD(EST!K42+TIME(12,0,0),1)</f>
        <v>0.5</v>
      </c>
      <c r="L42" s="37">
        <f>MOD(EST!L42+TIME(12,0,0),1)</f>
        <v>0.40625</v>
      </c>
      <c r="M42" s="37">
        <f>MOD(EST!M42+TIME(12,0,0),1)</f>
        <v>0.60416666666666663</v>
      </c>
      <c r="N42" t="str">
        <f>EST!N42</f>
        <v>Manilyn Abellar</v>
      </c>
      <c r="O42" t="s">
        <v>180</v>
      </c>
      <c r="P42">
        <f t="shared" si="3"/>
        <v>0</v>
      </c>
    </row>
    <row r="43" spans="1:16" x14ac:dyDescent="0.3">
      <c r="A43" t="str">
        <f>EST!A43</f>
        <v>Lanz Jason Medallo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20:00 - 07:00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20:00 - 07:00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OFF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20:00 - 07:00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20:00 - 07:00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Wed - Sat - Sun</v>
      </c>
      <c r="J43" s="37">
        <f>MOD(EST!J43+TIME(12,0,0),1)</f>
        <v>0.91666666666666674</v>
      </c>
      <c r="K43" s="37">
        <f>MOD(EST!K43+TIME(12,0,0),1)</f>
        <v>0.125</v>
      </c>
      <c r="L43" s="37">
        <f>MOD(EST!L43+TIME(12,0,0),1)</f>
        <v>0</v>
      </c>
      <c r="M43" s="37">
        <f>MOD(EST!M43+TIME(12,0,0),1)</f>
        <v>0.21875</v>
      </c>
      <c r="N43" t="str">
        <f>EST!N43</f>
        <v>Remmo Panaligan</v>
      </c>
      <c r="O43" t="s">
        <v>181</v>
      </c>
      <c r="P43">
        <f t="shared" si="3"/>
        <v>0</v>
      </c>
    </row>
    <row r="44" spans="1:16" x14ac:dyDescent="0.3">
      <c r="A44" t="str">
        <f>EST!A44</f>
        <v>Lee Joseph Agbanlog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21:00 - 08:00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21:00 - 08:00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21:00 - 08:00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21:00 - 08:00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OFF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OFF</v>
      </c>
      <c r="I44" t="str">
        <f t="shared" si="2"/>
        <v>Wed - Sat - Sun</v>
      </c>
      <c r="J44" s="37">
        <f>MOD(EST!J44+TIME(12,0,0),1)</f>
        <v>0.98958333333333326</v>
      </c>
      <c r="K44" s="37">
        <f>MOD(EST!K44+TIME(12,0,0),1)</f>
        <v>0.19791666666666652</v>
      </c>
      <c r="L44" s="37">
        <f>MOD(EST!L44+TIME(12,0,0),1)</f>
        <v>7.2916666666666519E-2</v>
      </c>
      <c r="M44" s="37">
        <f>MOD(EST!M44+TIME(12,0,0),1)</f>
        <v>0.28125</v>
      </c>
      <c r="N44" t="str">
        <f>EST!N44</f>
        <v>Michael Dominguez</v>
      </c>
      <c r="O44" t="s">
        <v>182</v>
      </c>
      <c r="P44">
        <f t="shared" si="3"/>
        <v>0</v>
      </c>
    </row>
    <row r="45" spans="1:16" x14ac:dyDescent="0.3">
      <c r="A45" t="str">
        <f>EST!A45</f>
        <v>Lovelyn Nicole Magcuyao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21:00 - 08:00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OFF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Fri - Sat - Sun</v>
      </c>
      <c r="J45" s="37">
        <f>MOD(EST!J45+TIME(12,0,0),1)</f>
        <v>0.95833333333333326</v>
      </c>
      <c r="K45" s="37">
        <f>MOD(EST!K45+TIME(12,0,0),1)</f>
        <v>0.17708333333333348</v>
      </c>
      <c r="L45" s="37">
        <f>MOD(EST!L45+TIME(12,0,0),1)</f>
        <v>5.2083333333333481E-2</v>
      </c>
      <c r="M45" s="37">
        <f>MOD(EST!M45+TIME(12,0,0),1)</f>
        <v>0.27083333333333348</v>
      </c>
      <c r="N45" t="str">
        <f>EST!N45</f>
        <v>Anmecha Valencia</v>
      </c>
      <c r="O45" t="s">
        <v>183</v>
      </c>
      <c r="P45">
        <f t="shared" si="3"/>
        <v>0</v>
      </c>
    </row>
    <row r="46" spans="1:16" x14ac:dyDescent="0.3">
      <c r="A46" t="str">
        <f>EST!A46</f>
        <v>Manueleth Nardo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OFF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OFF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06:30 - 17:30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06:30 - 17:30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06:30 - 17:30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06:30 - 17:30</v>
      </c>
      <c r="I46" t="str">
        <f t="shared" si="2"/>
        <v>Mon - Tue - Wed</v>
      </c>
      <c r="J46" s="37">
        <f>MOD(EST!J46+TIME(12,0,0),1)</f>
        <v>0.35416666666666652</v>
      </c>
      <c r="K46" s="37">
        <f>MOD(EST!K46+TIME(12,0,0),1)</f>
        <v>0.57291666666666663</v>
      </c>
      <c r="L46" s="37">
        <f>MOD(EST!L46+TIME(12,0,0),1)</f>
        <v>0.44791666666666652</v>
      </c>
      <c r="M46" s="37">
        <f>MOD(EST!M46+TIME(12,0,0),1)</f>
        <v>0.67708333333333337</v>
      </c>
      <c r="N46" t="str">
        <f>EST!N46</f>
        <v>Christopher Rodas</v>
      </c>
      <c r="O46" t="s">
        <v>184</v>
      </c>
      <c r="P46">
        <f t="shared" si="3"/>
        <v>0</v>
      </c>
    </row>
    <row r="47" spans="1:16" x14ac:dyDescent="0.3">
      <c r="A47" t="str">
        <f>EST!A47</f>
        <v>Marielle Dakila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21:00 - 08:00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21:00 - 08:00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21:00 - 08:00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21:00 - 08:00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OFF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OFF</v>
      </c>
      <c r="I47" t="str">
        <f t="shared" si="2"/>
        <v>Wed - Sat - Sun</v>
      </c>
      <c r="J47" s="37">
        <f>MOD(EST!J47+TIME(12,0,0),1)</f>
        <v>0.97916666666666674</v>
      </c>
      <c r="K47" s="37">
        <f>MOD(EST!K47+TIME(12,0,0),1)</f>
        <v>0.17708333333333348</v>
      </c>
      <c r="L47" s="37">
        <f>MOD(EST!L47+TIME(12,0,0),1)</f>
        <v>7.2916666666666519E-2</v>
      </c>
      <c r="M47" s="37">
        <f>MOD(EST!M47+TIME(12,0,0),1)</f>
        <v>0.28125</v>
      </c>
      <c r="N47" t="str">
        <f>EST!N47</f>
        <v>Remmo Panaligan</v>
      </c>
      <c r="O47" t="s">
        <v>185</v>
      </c>
      <c r="P47">
        <f t="shared" si="3"/>
        <v>0</v>
      </c>
    </row>
    <row r="48" spans="1:16" x14ac:dyDescent="0.3">
      <c r="A48" t="str">
        <f>EST!A48</f>
        <v>Marjon Gaebrielle Albay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OFF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21:00 - 08:00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21:00 - 08:00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21:00 - 08:00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21:00 - 08:00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OFF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OFF</v>
      </c>
      <c r="I48" t="str">
        <f t="shared" si="2"/>
        <v>Mon - Sat - Sun</v>
      </c>
      <c r="J48" s="37">
        <f>MOD(EST!J48+TIME(12,0,0),1)</f>
        <v>0.96875</v>
      </c>
      <c r="K48" s="37">
        <f>MOD(EST!K48+TIME(12,0,0),1)</f>
        <v>6.25E-2</v>
      </c>
      <c r="L48" s="37">
        <f>MOD(EST!L48+TIME(12,0,0),1)</f>
        <v>0.125</v>
      </c>
      <c r="M48" s="37">
        <f>MOD(EST!M48+TIME(12,0,0),1)</f>
        <v>0.28125</v>
      </c>
      <c r="N48" t="str">
        <f>EST!N48</f>
        <v>Michael Dominguez</v>
      </c>
      <c r="O48" t="s">
        <v>186</v>
      </c>
      <c r="P48">
        <f t="shared" si="3"/>
        <v>0</v>
      </c>
    </row>
    <row r="49" spans="1:16" x14ac:dyDescent="0.3">
      <c r="A49" t="str">
        <f>EST!A49</f>
        <v>Mark Raymond Mangaser Jr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17:00 - 04:00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17:00 - 04:00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OFF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OFF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OFF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17:00 - 04:00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17:00 - 04:00</v>
      </c>
      <c r="I49" t="str">
        <f t="shared" si="2"/>
        <v>Wed - Thu - Fri</v>
      </c>
      <c r="J49" s="37">
        <f>MOD(EST!J49+TIME(12,0,0),1)</f>
        <v>0.79166666666666674</v>
      </c>
      <c r="K49" s="37">
        <f>MOD(EST!K49+TIME(12,0,0),1)</f>
        <v>1.0416666666666519E-2</v>
      </c>
      <c r="L49" s="37">
        <f>MOD(EST!L49+TIME(12,0,0),1)</f>
        <v>0.88541666666666674</v>
      </c>
      <c r="M49" s="37">
        <f>MOD(EST!M49+TIME(12,0,0),1)</f>
        <v>0.11458333333333348</v>
      </c>
      <c r="N49" t="str">
        <f>EST!N49</f>
        <v>Remmo Panaligan</v>
      </c>
      <c r="O49" t="s">
        <v>187</v>
      </c>
      <c r="P49">
        <f t="shared" si="3"/>
        <v>0</v>
      </c>
    </row>
    <row r="50" spans="1:16" x14ac:dyDescent="0.3">
      <c r="A50" t="str">
        <f>EST!A50</f>
        <v>Mary Angelie Fajardo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08:00 - 19:00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OFF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08:00 - 19:00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08:00 - 19:00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08:00 - 19:00</v>
      </c>
      <c r="I50" t="str">
        <f t="shared" si="2"/>
        <v>Tue - Wed - Thu</v>
      </c>
      <c r="J50" s="37">
        <f>MOD(EST!J50+TIME(12,0,0),1)</f>
        <v>0.41666666666666652</v>
      </c>
      <c r="K50" s="37">
        <f>MOD(EST!K50+TIME(12,0,0),1)</f>
        <v>0.52083333333333337</v>
      </c>
      <c r="L50" s="37">
        <f>MOD(EST!L50+TIME(12,0,0),1)</f>
        <v>0.60416666666666663</v>
      </c>
      <c r="M50" s="37">
        <f>MOD(EST!M50+TIME(12,0,0),1)</f>
        <v>0.75</v>
      </c>
      <c r="N50" t="str">
        <f>EST!N50</f>
        <v>Christopher Rodas</v>
      </c>
      <c r="O50" t="s">
        <v>188</v>
      </c>
      <c r="P50">
        <f t="shared" si="3"/>
        <v>0</v>
      </c>
    </row>
    <row r="51" spans="1:16" x14ac:dyDescent="0.3">
      <c r="A51" t="str">
        <f>EST!A51</f>
        <v>Mary Joy Delos Santos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OFF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10:00 - 21:00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10:00 - 21:00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10:00 - 21:00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10:00 - 21:00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OFF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OFF</v>
      </c>
      <c r="I51" t="str">
        <f t="shared" si="2"/>
        <v>Mon - Sat - Sun</v>
      </c>
      <c r="J51" s="37">
        <f>MOD(EST!J51+TIME(12,0,0),1)</f>
        <v>0.5</v>
      </c>
      <c r="K51" s="37">
        <f>MOD(EST!K51+TIME(12,0,0),1)</f>
        <v>0.69791666666666663</v>
      </c>
      <c r="L51" s="37">
        <f>MOD(EST!L51+TIME(12,0,0),1)</f>
        <v>0.59375</v>
      </c>
      <c r="M51" s="37">
        <f>MOD(EST!M51+TIME(12,0,0),1)</f>
        <v>0.80208333333333326</v>
      </c>
      <c r="N51" t="str">
        <f>EST!N51</f>
        <v>Manilyn Abellar</v>
      </c>
      <c r="O51" t="s">
        <v>189</v>
      </c>
      <c r="P51">
        <f t="shared" si="3"/>
        <v>0</v>
      </c>
    </row>
    <row r="52" spans="1:16" x14ac:dyDescent="0.3">
      <c r="A52" t="str">
        <f>EST!A52</f>
        <v>Mhar Anthony Juezan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OFF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22:00 - 09:00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22:00 - 09:00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22:00 - 09:00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22:00 - 09:00</v>
      </c>
      <c r="I52" t="str">
        <f t="shared" si="2"/>
        <v>Mon - Tue - Wed</v>
      </c>
      <c r="J52" s="37">
        <f>MOD(EST!J52+TIME(12,0,0),1)</f>
        <v>0</v>
      </c>
      <c r="K52" s="37">
        <f>MOD(EST!K52+TIME(12,0,0),1)</f>
        <v>0.22916666666666652</v>
      </c>
      <c r="L52" s="37">
        <f>MOD(EST!L52+TIME(12,0,0),1)</f>
        <v>0.10416666666666652</v>
      </c>
      <c r="M52" s="37">
        <f>MOD(EST!M52+TIME(12,0,0),1)</f>
        <v>0.32291666666666652</v>
      </c>
      <c r="N52" t="str">
        <f>EST!N52</f>
        <v>Christopher Rodas</v>
      </c>
      <c r="O52" t="s">
        <v>190</v>
      </c>
      <c r="P52">
        <f t="shared" si="3"/>
        <v>0</v>
      </c>
    </row>
    <row r="53" spans="1:16" x14ac:dyDescent="0.3">
      <c r="A53" t="str">
        <f>EST!A53</f>
        <v>Michelle Corbeta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21:00 - 08:00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OFF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OFF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OFF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21:00 - 08:00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21:00 - 08:00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21:00 - 08:00</v>
      </c>
      <c r="I53" t="str">
        <f t="shared" si="2"/>
        <v>Tue - Wed - Thu</v>
      </c>
      <c r="J53" s="37">
        <f>MOD(EST!J53+TIME(12,0,0),1)</f>
        <v>0.96875</v>
      </c>
      <c r="K53" s="37">
        <f>MOD(EST!K53+TIME(12,0,0),1)</f>
        <v>6.25E-2</v>
      </c>
      <c r="L53" s="37">
        <f>MOD(EST!L53+TIME(12,0,0),1)</f>
        <v>0.125</v>
      </c>
      <c r="M53" s="37">
        <f>MOD(EST!M53+TIME(12,0,0),1)</f>
        <v>0.27083333333333348</v>
      </c>
      <c r="N53" t="str">
        <f>EST!N53</f>
        <v>Christopher Rodas</v>
      </c>
      <c r="O53" t="s">
        <v>191</v>
      </c>
      <c r="P53">
        <f t="shared" si="3"/>
        <v>0</v>
      </c>
    </row>
    <row r="54" spans="1:16" x14ac:dyDescent="0.3">
      <c r="A54" t="str">
        <f>EST!A54</f>
        <v>Patricia Gilan Villas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21:00 - 08:00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OFF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21:00 - 08:00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21:00 - 08:00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21:00 - 08:00</v>
      </c>
      <c r="I54" t="str">
        <f t="shared" si="2"/>
        <v>Tue - Wed - Thu</v>
      </c>
      <c r="J54" s="37">
        <f>MOD(EST!J54+TIME(12,0,0),1)</f>
        <v>0.94791666666666674</v>
      </c>
      <c r="K54" s="37">
        <f>MOD(EST!K54+TIME(12,0,0),1)</f>
        <v>0.15625</v>
      </c>
      <c r="L54" s="37">
        <f>MOD(EST!L54+TIME(12,0,0),1)</f>
        <v>2.0833333333333481E-2</v>
      </c>
      <c r="M54" s="37">
        <f>MOD(EST!M54+TIME(12,0,0),1)</f>
        <v>0.26041666666666652</v>
      </c>
      <c r="N54" t="str">
        <f>EST!N54</f>
        <v>Anmecha Valencia</v>
      </c>
      <c r="O54" t="s">
        <v>192</v>
      </c>
      <c r="P54">
        <f t="shared" si="3"/>
        <v>0</v>
      </c>
    </row>
    <row r="55" spans="1:16" x14ac:dyDescent="0.3">
      <c r="A55" t="str">
        <f>EST!A55</f>
        <v>Raquela Nicole Lareta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05:00 - 16:00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05:00 - 16:00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05:00 - 16:00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05:00 - 16:00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OFF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OFF</v>
      </c>
      <c r="I55" t="str">
        <f t="shared" si="2"/>
        <v>Fri - Sat - Sun</v>
      </c>
      <c r="J55" s="37">
        <f>MOD(EST!J55+TIME(12,0,0),1)</f>
        <v>0.3125</v>
      </c>
      <c r="K55" s="37">
        <f>MOD(EST!K55+TIME(12,0,0),1)</f>
        <v>0.51041666666666663</v>
      </c>
      <c r="L55" s="37">
        <f>MOD(EST!L55+TIME(12,0,0),1)</f>
        <v>0.39583333333333348</v>
      </c>
      <c r="M55" s="37">
        <f>MOD(EST!M55+TIME(12,0,0),1)</f>
        <v>0.61458333333333337</v>
      </c>
      <c r="N55" t="str">
        <f>EST!N55</f>
        <v>Christopher Rodas</v>
      </c>
      <c r="O55" t="s">
        <v>193</v>
      </c>
      <c r="P55">
        <f t="shared" si="3"/>
        <v>0</v>
      </c>
    </row>
    <row r="56" spans="1:16" x14ac:dyDescent="0.3">
      <c r="A56" t="str">
        <f>EST!A56</f>
        <v>Rayniel Ingal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12:00 - 23:00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12:00 - 23:00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OFF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OFF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OFF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12:00 - 23:00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12:00 - 23:00</v>
      </c>
      <c r="I56" t="str">
        <f t="shared" si="2"/>
        <v>Wed - Thu - Fri</v>
      </c>
      <c r="J56" s="37">
        <f>MOD(EST!J56+TIME(12,0,0),1)</f>
        <v>0.58333333333333337</v>
      </c>
      <c r="K56" s="37">
        <f>MOD(EST!K56+TIME(12,0,0),1)</f>
        <v>0.66666666666666663</v>
      </c>
      <c r="L56" s="37">
        <f>MOD(EST!L56+TIME(12,0,0),1)</f>
        <v>0.79166666666666674</v>
      </c>
      <c r="M56" s="37">
        <f>MOD(EST!M56+TIME(12,0,0),1)</f>
        <v>0.91666666666666674</v>
      </c>
      <c r="N56" t="str">
        <f>EST!N56</f>
        <v>Chris Borromeo</v>
      </c>
      <c r="O56" t="s">
        <v>194</v>
      </c>
      <c r="P56">
        <f t="shared" si="3"/>
        <v>0</v>
      </c>
    </row>
    <row r="57" spans="1:16" x14ac:dyDescent="0.3">
      <c r="A57" t="str">
        <f>EST!A57</f>
        <v>Rey Fernandez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11:00 - 22:00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OFF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11:00 - 22:00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11:00 - 22:00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OFF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11:00 - 22:00</v>
      </c>
      <c r="I57" t="str">
        <f t="shared" si="2"/>
        <v>Tue - Wed - Sat</v>
      </c>
      <c r="J57" s="37">
        <f>MOD(EST!J57+TIME(12,0,0),1)</f>
        <v>0.55208333333333337</v>
      </c>
      <c r="K57" s="37">
        <f>MOD(EST!K57+TIME(12,0,0),1)</f>
        <v>0.77083333333333326</v>
      </c>
      <c r="L57" s="37">
        <f>MOD(EST!L57+TIME(12,0,0),1)</f>
        <v>0.64583333333333337</v>
      </c>
      <c r="M57" s="37">
        <f>MOD(EST!M57+TIME(12,0,0),1)</f>
        <v>0.86458333333333326</v>
      </c>
      <c r="N57" t="str">
        <f>EST!N57</f>
        <v>Anmecha Valencia</v>
      </c>
      <c r="O57" t="s">
        <v>195</v>
      </c>
      <c r="P57">
        <f t="shared" si="3"/>
        <v>0</v>
      </c>
    </row>
    <row r="58" spans="1:16" x14ac:dyDescent="0.3">
      <c r="A58" t="str">
        <f>EST!A58</f>
        <v>Rona Rotchel Moniva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OFF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OFF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21:00 - 08:00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21:00 - 08:00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21:00 - 08:00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21:00 - 08:00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OFF</v>
      </c>
      <c r="I58" t="str">
        <f t="shared" si="2"/>
        <v>Mon - Tue - Sun</v>
      </c>
      <c r="J58" s="37">
        <f>MOD(EST!J58+TIME(12,0,0),1)</f>
        <v>0.96875</v>
      </c>
      <c r="K58" s="37">
        <f>MOD(EST!K58+TIME(12,0,0),1)</f>
        <v>0.22916666666666652</v>
      </c>
      <c r="L58" s="37">
        <f>MOD(EST!L58+TIME(12,0,0),1)</f>
        <v>6.25E-2</v>
      </c>
      <c r="M58" s="37">
        <f>MOD(EST!M58+TIME(12,0,0),1)</f>
        <v>0.29166666666666652</v>
      </c>
      <c r="N58" t="str">
        <f>EST!N58</f>
        <v>Manilyn Abellar</v>
      </c>
      <c r="O58" t="s">
        <v>196</v>
      </c>
      <c r="P58">
        <f t="shared" si="3"/>
        <v>0</v>
      </c>
    </row>
    <row r="59" spans="1:16" x14ac:dyDescent="0.3">
      <c r="A59" t="str">
        <f>EST!A59</f>
        <v>Roy Sagales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19:00 - 06:00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19:00 - 06:00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OFF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OFF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19:00 - 06:00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19:00 - 06:00</v>
      </c>
      <c r="I59" t="str">
        <f t="shared" si="2"/>
        <v>Wed - Thu - Fri</v>
      </c>
      <c r="J59" s="37">
        <f>MOD(EST!J59+TIME(12,0,0),1)</f>
        <v>0.86458333333333326</v>
      </c>
      <c r="K59" s="37">
        <f>MOD(EST!K59+TIME(12,0,0),1)</f>
        <v>7.2916666666666519E-2</v>
      </c>
      <c r="L59" s="37">
        <f>MOD(EST!L59+TIME(12,0,0),1)</f>
        <v>0.94791666666666674</v>
      </c>
      <c r="M59" s="37">
        <f>MOD(EST!M59+TIME(12,0,0),1)</f>
        <v>0.17708333333333348</v>
      </c>
      <c r="N59" t="str">
        <f>EST!N59</f>
        <v>Michael Dominguez</v>
      </c>
      <c r="O59" t="s">
        <v>197</v>
      </c>
      <c r="P59">
        <f t="shared" si="3"/>
        <v>0</v>
      </c>
    </row>
    <row r="60" spans="1:16" x14ac:dyDescent="0.3">
      <c r="A60" t="str">
        <f>EST!A60</f>
        <v>Sam Supnet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22:30 - 09:30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22:30 - 09:30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OFF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OFF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22:30 - 09:30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22:30 - 09:30</v>
      </c>
      <c r="I60" t="str">
        <f t="shared" si="2"/>
        <v>Wed - Thu - Fri</v>
      </c>
      <c r="J60" s="37">
        <f>MOD(EST!J60+TIME(12,0,0),1)</f>
        <v>3.125E-2</v>
      </c>
      <c r="K60" s="37">
        <f>MOD(EST!K60+TIME(12,0,0),1)</f>
        <v>0.26041666666666652</v>
      </c>
      <c r="L60" s="37">
        <f>MOD(EST!L60+TIME(12,0,0),1)</f>
        <v>0.14583333333333348</v>
      </c>
      <c r="M60" s="37">
        <f>MOD(EST!M60+TIME(12,0,0),1)</f>
        <v>0.375</v>
      </c>
      <c r="N60" t="str">
        <f>EST!N60</f>
        <v>Michael Dominguez</v>
      </c>
      <c r="O60" t="s">
        <v>198</v>
      </c>
      <c r="P60">
        <f t="shared" si="3"/>
        <v>0</v>
      </c>
    </row>
    <row r="61" spans="1:16" x14ac:dyDescent="0.3">
      <c r="A61" t="str">
        <f>EST!A61</f>
        <v>Samantha Yvonne Dela Costa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21:00 - 08:00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21:00 - 08:00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21:00 - 08:00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OFF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21:00 - 08:00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Thu - Sat - Sun</v>
      </c>
      <c r="J61" s="37">
        <f>MOD(EST!J61+TIME(12,0,0),1)</f>
        <v>0.98958333333333326</v>
      </c>
      <c r="K61" s="37">
        <f>MOD(EST!K61+TIME(12,0,0),1)</f>
        <v>0.22916666666666652</v>
      </c>
      <c r="L61" s="37">
        <f>MOD(EST!L61+TIME(12,0,0),1)</f>
        <v>0.10416666666666652</v>
      </c>
      <c r="M61" s="37">
        <f>MOD(EST!M61+TIME(12,0,0),1)</f>
        <v>0.3125</v>
      </c>
      <c r="N61" t="str">
        <f>EST!N61</f>
        <v>Anmecha Valencia</v>
      </c>
      <c r="O61" t="s">
        <v>199</v>
      </c>
      <c r="P61">
        <f t="shared" si="3"/>
        <v>0</v>
      </c>
    </row>
    <row r="62" spans="1:16" x14ac:dyDescent="0.3">
      <c r="A62" t="str">
        <f>EST!A62</f>
        <v>Shiela Mae Laroa</v>
      </c>
      <c r="B62" t="str">
        <f>IFERROR(_xlfn.LET(_xlpm.s,SUBSTITUTE(IF(EST!$P62=1,EST!H62,EST!B62)," ",""),IF(_xlpm.s="OFF","OFF",TEXT(MOD(TIMEVALUE(_xlfn.TEXTBEFORE(_xlpm.s,"-"))+0.5,1),"hh:mm")&amp;" - "&amp;TEXT(MOD(TIMEVALUE(_xlfn.TEXTAFTER(_xlpm.s,"-"))+0.5,1),"hh:mm"))),IF(EST!$P62=1,EST!H62,EST!B62))</f>
        <v>19:00 - 06:00</v>
      </c>
      <c r="C62" t="str">
        <f>IFERROR(_xlfn.LET(_xlpm.s,SUBSTITUTE(IF(EST!$P62=1,EST!B62,EST!C62)," ",""),IF(_xlpm.s="OFF","OFF",TEXT(MOD(TIMEVALUE(_xlfn.TEXTBEFORE(_xlpm.s,"-"))+0.5,1),"hh:mm")&amp;" - "&amp;TEXT(MOD(TIMEVALUE(_xlfn.TEXTAFTER(_xlpm.s,"-"))+0.5,1),"hh:mm"))),IF(EST!$P62=1,EST!B62,EST!C62))</f>
        <v>19:00 - 06:00</v>
      </c>
      <c r="D62" t="str">
        <f>IFERROR(_xlfn.LET(_xlpm.s,SUBSTITUTE(IF(EST!$P62=1,EST!C62,EST!D62)," ",""),IF(_xlpm.s="OFF","OFF",TEXT(MOD(TIMEVALUE(_xlfn.TEXTBEFORE(_xlpm.s,"-"))+0.5,1),"hh:mm")&amp;" - "&amp;TEXT(MOD(TIMEVALUE(_xlfn.TEXTAFTER(_xlpm.s,"-"))+0.5,1),"hh:mm"))),IF(EST!$P62=1,EST!C62,EST!D62))</f>
        <v>19:00 - 06:00</v>
      </c>
      <c r="E62" t="str">
        <f>IFERROR(_xlfn.LET(_xlpm.s,SUBSTITUTE(IF(EST!$P62=1,EST!D62,EST!E62)," ",""),IF(_xlpm.s="OFF","OFF",TEXT(MOD(TIMEVALUE(_xlfn.TEXTBEFORE(_xlpm.s,"-"))+0.5,1),"hh:mm")&amp;" - "&amp;TEXT(MOD(TIMEVALUE(_xlfn.TEXTAFTER(_xlpm.s,"-"))+0.5,1),"hh:mm"))),IF(EST!$P62=1,EST!D62,EST!E62))</f>
        <v>19:00 - 06:00</v>
      </c>
      <c r="F62" t="str">
        <f>IFERROR(_xlfn.LET(_xlpm.s,SUBSTITUTE(IF(EST!$P62=1,EST!E62,EST!F62)," ",""),IF(_xlpm.s="OFF","OFF",TEXT(MOD(TIMEVALUE(_xlfn.TEXTBEFORE(_xlpm.s,"-"))+0.5,1),"hh:mm")&amp;" - "&amp;TEXT(MOD(TIMEVALUE(_xlfn.TEXTAFTER(_xlpm.s,"-"))+0.5,1),"hh:mm"))),IF(EST!$P62=1,EST!E62,EST!F62))</f>
        <v>OFF</v>
      </c>
      <c r="G62" t="str">
        <f>IFERROR(_xlfn.LET(_xlpm.s,SUBSTITUTE(IF(EST!$P62=1,EST!F62,EST!G62)," ",""),IF(_xlpm.s="OFF","OFF",TEXT(MOD(TIMEVALUE(_xlfn.TEXTBEFORE(_xlpm.s,"-"))+0.5,1),"hh:mm")&amp;" - "&amp;TEXT(MOD(TIMEVALUE(_xlfn.TEXTAFTER(_xlpm.s,"-"))+0.5,1),"hh:mm"))),IF(EST!$P62=1,EST!F62,EST!G62))</f>
        <v>OFF</v>
      </c>
      <c r="H62" t="str">
        <f>IFERROR(_xlfn.LET(_xlpm.s,SUBSTITUTE(IF(EST!$P62=1,EST!G62,EST!H62)," ",""),IF(_xlpm.s="OFF","OFF",TEXT(MOD(TIMEVALUE(_xlfn.TEXTBEFORE(_xlpm.s,"-"))+0.5,1),"hh:mm")&amp;" - "&amp;TEXT(MOD(TIMEVALUE(_xlfn.TEXTAFTER(_xlpm.s,"-"))+0.5,1),"hh:mm"))),IF(EST!$P62=1,EST!G62,EST!H62))</f>
        <v>OFF</v>
      </c>
      <c r="I62" t="str">
        <f t="shared" si="2"/>
        <v>Fri - Sat - Sun</v>
      </c>
      <c r="J62" s="37">
        <f>MOD(EST!J62+TIME(12,0,0),1)</f>
        <v>0.875</v>
      </c>
      <c r="K62" s="37">
        <f>MOD(EST!K62+TIME(12,0,0),1)</f>
        <v>0.97916666666666674</v>
      </c>
      <c r="L62" s="37">
        <f>MOD(EST!L62+TIME(12,0,0),1)</f>
        <v>8.3333333333333481E-2</v>
      </c>
      <c r="M62" s="37">
        <f>MOD(EST!M62+TIME(12,0,0),1)</f>
        <v>0.17708333333333348</v>
      </c>
      <c r="N62" t="str">
        <f>EST!N62</f>
        <v>Manilyn Abellar</v>
      </c>
      <c r="O62" t="s">
        <v>200</v>
      </c>
      <c r="P62">
        <f t="shared" si="3"/>
        <v>0</v>
      </c>
    </row>
    <row r="63" spans="1:16" x14ac:dyDescent="0.3">
      <c r="A63" t="str">
        <f>EST!A63</f>
        <v>William Nava</v>
      </c>
      <c r="B63" t="str">
        <f>IFERROR(_xlfn.LET(_xlpm.s,SUBSTITUTE(IF(EST!$P63=1,EST!H63,EST!B63)," ",""),IF(_xlpm.s="OFF","OFF",TEXT(MOD(TIMEVALUE(_xlfn.TEXTBEFORE(_xlpm.s,"-"))+0.5,1),"hh:mm")&amp;" - "&amp;TEXT(MOD(TIMEVALUE(_xlfn.TEXTAFTER(_xlpm.s,"-"))+0.5,1),"hh:mm"))),IF(EST!$P63=1,EST!H63,EST!B63))</f>
        <v>20:00 - 07:00</v>
      </c>
      <c r="C63" t="str">
        <f>IFERROR(_xlfn.LET(_xlpm.s,SUBSTITUTE(IF(EST!$P63=1,EST!B63,EST!C63)," ",""),IF(_xlpm.s="OFF","OFF",TEXT(MOD(TIMEVALUE(_xlfn.TEXTBEFORE(_xlpm.s,"-"))+0.5,1),"hh:mm")&amp;" - "&amp;TEXT(MOD(TIMEVALUE(_xlfn.TEXTAFTER(_xlpm.s,"-"))+0.5,1),"hh:mm"))),IF(EST!$P63=1,EST!B63,EST!C63))</f>
        <v>OFF</v>
      </c>
      <c r="D63" t="str">
        <f>IFERROR(_xlfn.LET(_xlpm.s,SUBSTITUTE(IF(EST!$P63=1,EST!C63,EST!D63)," ",""),IF(_xlpm.s="OFF","OFF",TEXT(MOD(TIMEVALUE(_xlfn.TEXTBEFORE(_xlpm.s,"-"))+0.5,1),"hh:mm")&amp;" - "&amp;TEXT(MOD(TIMEVALUE(_xlfn.TEXTAFTER(_xlpm.s,"-"))+0.5,1),"hh:mm"))),IF(EST!$P63=1,EST!C63,EST!D63))</f>
        <v>20:00 - 07:00</v>
      </c>
      <c r="E63" t="str">
        <f>IFERROR(_xlfn.LET(_xlpm.s,SUBSTITUTE(IF(EST!$P63=1,EST!D63,EST!E63)," ",""),IF(_xlpm.s="OFF","OFF",TEXT(MOD(TIMEVALUE(_xlfn.TEXTBEFORE(_xlpm.s,"-"))+0.5,1),"hh:mm")&amp;" - "&amp;TEXT(MOD(TIMEVALUE(_xlfn.TEXTAFTER(_xlpm.s,"-"))+0.5,1),"hh:mm"))),IF(EST!$P63=1,EST!D63,EST!E63))</f>
        <v>20:00 - 07:00</v>
      </c>
      <c r="F63" t="str">
        <f>IFERROR(_xlfn.LET(_xlpm.s,SUBSTITUTE(IF(EST!$P63=1,EST!E63,EST!F63)," ",""),IF(_xlpm.s="OFF","OFF",TEXT(MOD(TIMEVALUE(_xlfn.TEXTBEFORE(_xlpm.s,"-"))+0.5,1),"hh:mm")&amp;" - "&amp;TEXT(MOD(TIMEVALUE(_xlfn.TEXTAFTER(_xlpm.s,"-"))+0.5,1),"hh:mm"))),IF(EST!$P63=1,EST!E63,EST!F63))</f>
        <v>20:00 - 07:00</v>
      </c>
      <c r="G63" t="str">
        <f>IFERROR(_xlfn.LET(_xlpm.s,SUBSTITUTE(IF(EST!$P63=1,EST!F63,EST!G63)," ",""),IF(_xlpm.s="OFF","OFF",TEXT(MOD(TIMEVALUE(_xlfn.TEXTBEFORE(_xlpm.s,"-"))+0.5,1),"hh:mm")&amp;" - "&amp;TEXT(MOD(TIMEVALUE(_xlfn.TEXTAFTER(_xlpm.s,"-"))+0.5,1),"hh:mm"))),IF(EST!$P63=1,EST!F63,EST!G63))</f>
        <v>OFF</v>
      </c>
      <c r="H63" t="str">
        <f>IFERROR(_xlfn.LET(_xlpm.s,SUBSTITUTE(IF(EST!$P63=1,EST!G63,EST!H63)," ",""),IF(_xlpm.s="OFF","OFF",TEXT(MOD(TIMEVALUE(_xlfn.TEXTBEFORE(_xlpm.s,"-"))+0.5,1),"hh:mm")&amp;" - "&amp;TEXT(MOD(TIMEVALUE(_xlfn.TEXTAFTER(_xlpm.s,"-"))+0.5,1),"hh:mm"))),IF(EST!$P63=1,EST!G63,EST!H63))</f>
        <v>OFF</v>
      </c>
      <c r="I63" t="str">
        <f t="shared" si="2"/>
        <v>Tue - Sat - Sun</v>
      </c>
      <c r="J63" s="37">
        <f>MOD(EST!J63+TIME(12,0,0),1)</f>
        <v>0.92708333333333326</v>
      </c>
      <c r="K63" s="37">
        <f>MOD(EST!K63+TIME(12,0,0),1)</f>
        <v>0.14583333333333348</v>
      </c>
      <c r="L63" s="37">
        <f>MOD(EST!L63+TIME(12,0,0),1)</f>
        <v>1.0416666666666519E-2</v>
      </c>
      <c r="M63" s="37">
        <f>MOD(EST!M63+TIME(12,0,0),1)</f>
        <v>0.26041666666666652</v>
      </c>
      <c r="N63" t="str">
        <f>EST!N63</f>
        <v>Anmecha Valencia</v>
      </c>
      <c r="O63" t="s">
        <v>201</v>
      </c>
      <c r="P63">
        <f t="shared" si="3"/>
        <v>0</v>
      </c>
    </row>
    <row r="64" spans="1:16" x14ac:dyDescent="0.3">
      <c r="A64" t="str">
        <f>EST!A64</f>
        <v>Cyril Tagalog</v>
      </c>
    </row>
    <row r="65" spans="1:1" x14ac:dyDescent="0.3">
      <c r="A65" t="str">
        <f>EST!A65</f>
        <v>Pat Marlou Tanola</v>
      </c>
    </row>
    <row r="66" spans="1:1" x14ac:dyDescent="0.3">
      <c r="A66" t="str">
        <f>EST!A66</f>
        <v>Sean Gabriel Ramirez</v>
      </c>
    </row>
  </sheetData>
  <autoFilter ref="A1:O61" xr:uid="{D6E1C52C-27C0-45B0-B89A-D9ECF8590EEA}">
    <sortState xmlns:xlrd2="http://schemas.microsoft.com/office/spreadsheetml/2017/richdata2" ref="A2:O61">
      <sortCondition ref="A1:A61"/>
    </sortState>
  </autoFilter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39"/>
  <sheetViews>
    <sheetView tabSelected="1" workbookViewId="0">
      <selection activeCell="A13" sqref="A13"/>
    </sheetView>
  </sheetViews>
  <sheetFormatPr defaultRowHeight="14.4" x14ac:dyDescent="0.3"/>
  <cols>
    <col min="1" max="1" width="26.6640625" customWidth="1"/>
    <col min="2" max="2" width="19.109375" style="29" customWidth="1"/>
    <col min="3" max="3" width="22.6640625" customWidth="1"/>
    <col min="4" max="4" width="16.6640625" bestFit="1" customWidth="1"/>
  </cols>
  <sheetData>
    <row r="1" spans="1:4" ht="17.399999999999999" thickBot="1" x14ac:dyDescent="0.35">
      <c r="A1" s="24" t="s">
        <v>0</v>
      </c>
      <c r="B1" s="28" t="s">
        <v>68</v>
      </c>
      <c r="C1" s="24" t="s">
        <v>69</v>
      </c>
      <c r="D1" s="24" t="s">
        <v>13</v>
      </c>
    </row>
    <row r="2" spans="1:4" x14ac:dyDescent="0.3">
      <c r="A2" s="16" t="s">
        <v>202</v>
      </c>
      <c r="B2" s="29">
        <v>46315</v>
      </c>
      <c r="C2" t="s">
        <v>76</v>
      </c>
      <c r="D2" t="str">
        <f>_xlfn.IFNA(VLOOKUP(A2,EST!A:N,14,FALSE),"")</f>
        <v>Christopher Rodas</v>
      </c>
    </row>
    <row r="3" spans="1:4" x14ac:dyDescent="0.3">
      <c r="A3" t="s">
        <v>83</v>
      </c>
      <c r="B3" s="29">
        <v>46315</v>
      </c>
      <c r="C3" t="s">
        <v>76</v>
      </c>
      <c r="D3" t="str">
        <f>_xlfn.IFNA(VLOOKUP(A3,EST!A:N,14,FALSE),"")</f>
        <v>Michael Dominguez</v>
      </c>
    </row>
    <row r="4" spans="1:4" x14ac:dyDescent="0.3">
      <c r="A4" t="s">
        <v>77</v>
      </c>
      <c r="B4" s="29">
        <v>46315</v>
      </c>
      <c r="C4" t="s">
        <v>76</v>
      </c>
      <c r="D4" t="str">
        <f>_xlfn.IFNA(VLOOKUP(A4,EST!A:N,14,FALSE),"")</f>
        <v>Remmo Panaligan</v>
      </c>
    </row>
    <row r="5" spans="1:4" x14ac:dyDescent="0.3">
      <c r="A5" t="s">
        <v>94</v>
      </c>
      <c r="B5" s="29">
        <v>46316</v>
      </c>
      <c r="C5" t="s">
        <v>76</v>
      </c>
      <c r="D5" t="str">
        <f>_xlfn.IFNA(VLOOKUP(A5,EST!A:N,14,FALSE),"")</f>
        <v>Michael Dominguez</v>
      </c>
    </row>
    <row r="6" spans="1:4" x14ac:dyDescent="0.3">
      <c r="A6" t="s">
        <v>108</v>
      </c>
      <c r="B6" s="29">
        <v>46317</v>
      </c>
      <c r="C6" t="s">
        <v>76</v>
      </c>
      <c r="D6" t="str">
        <f>_xlfn.IFNA(VLOOKUP(A6,EST!A:N,14,FALSE),"")</f>
        <v>Manilyn Abellar</v>
      </c>
    </row>
    <row r="7" spans="1:4" x14ac:dyDescent="0.3">
      <c r="A7" t="s">
        <v>86</v>
      </c>
      <c r="B7" s="29">
        <v>46317</v>
      </c>
      <c r="C7" t="s">
        <v>76</v>
      </c>
      <c r="D7" t="str">
        <f>_xlfn.IFNA(VLOOKUP(A7,EST!A:N,14,FALSE),"")</f>
        <v>Anmecha Valencia</v>
      </c>
    </row>
    <row r="8" spans="1:4" x14ac:dyDescent="0.3">
      <c r="A8" t="s">
        <v>94</v>
      </c>
      <c r="B8" s="29">
        <v>46317</v>
      </c>
      <c r="C8" t="s">
        <v>76</v>
      </c>
      <c r="D8" t="str">
        <f>_xlfn.IFNA(VLOOKUP(A8,EST!A:N,14,FALSE),"")</f>
        <v>Michael Dominguez</v>
      </c>
    </row>
    <row r="9" spans="1:4" x14ac:dyDescent="0.3">
      <c r="A9" t="s">
        <v>93</v>
      </c>
      <c r="B9" s="29">
        <v>46318</v>
      </c>
      <c r="C9" t="s">
        <v>76</v>
      </c>
      <c r="D9" t="str">
        <f>_xlfn.IFNA(VLOOKUP(A9,EST!A:N,14,FALSE),"")</f>
        <v>Anmecha Valencia</v>
      </c>
    </row>
    <row r="10" spans="1:4" x14ac:dyDescent="0.3">
      <c r="A10" t="s">
        <v>87</v>
      </c>
      <c r="B10" s="29">
        <v>46318</v>
      </c>
      <c r="C10" t="s">
        <v>76</v>
      </c>
      <c r="D10" t="str">
        <f>_xlfn.IFNA(VLOOKUP(A10,EST!A:N,14,FALSE),"")</f>
        <v>Michael Dominguez</v>
      </c>
    </row>
    <row r="11" spans="1:4" x14ac:dyDescent="0.3">
      <c r="A11" t="s">
        <v>128</v>
      </c>
      <c r="B11" s="29">
        <v>46318</v>
      </c>
      <c r="C11" t="s">
        <v>76</v>
      </c>
      <c r="D11" t="str">
        <f>_xlfn.IFNA(VLOOKUP(A11,EST!A:N,14,FALSE),"")</f>
        <v>Anmecha Valencia</v>
      </c>
    </row>
    <row r="12" spans="1:4" x14ac:dyDescent="0.3">
      <c r="A12" t="s">
        <v>135</v>
      </c>
      <c r="B12" s="29">
        <v>46319</v>
      </c>
      <c r="C12" t="s">
        <v>75</v>
      </c>
      <c r="D12" t="str">
        <f>_xlfn.IFNA(VLOOKUP(A12,EST!A:N,14,FALSE),"")</f>
        <v>Manilyn Abellar</v>
      </c>
    </row>
    <row r="13" spans="1:4" x14ac:dyDescent="0.3">
      <c r="A13" s="10" t="s">
        <v>137</v>
      </c>
      <c r="B13" s="29">
        <v>46320</v>
      </c>
      <c r="C13" t="s">
        <v>76</v>
      </c>
      <c r="D13" t="str">
        <f>_xlfn.IFNA(VLOOKUP(A13,EST!A:N,14,FALSE),"")</f>
        <v>Remmo Panaligan</v>
      </c>
    </row>
    <row r="14" spans="1:4" x14ac:dyDescent="0.3">
      <c r="A14" t="s">
        <v>135</v>
      </c>
      <c r="B14" s="29">
        <v>46320</v>
      </c>
      <c r="C14" t="s">
        <v>75</v>
      </c>
      <c r="D14" t="str">
        <f>_xlfn.IFNA(VLOOKUP(A14,EST!A:N,14,FALSE),"")</f>
        <v>Manilyn Abellar</v>
      </c>
    </row>
    <row r="15" spans="1:4" x14ac:dyDescent="0.3">
      <c r="A15" t="s">
        <v>130</v>
      </c>
      <c r="B15" s="29">
        <v>46321</v>
      </c>
      <c r="C15" t="s">
        <v>76</v>
      </c>
      <c r="D15" t="str">
        <f>_xlfn.IFNA(VLOOKUP(A15,EST!A:N,14,FALSE),"")</f>
        <v>Michael Dominguez</v>
      </c>
    </row>
    <row r="16" spans="1:4" x14ac:dyDescent="0.3">
      <c r="A16" t="s">
        <v>106</v>
      </c>
      <c r="B16" s="29">
        <v>46321</v>
      </c>
      <c r="C16" t="s">
        <v>76</v>
      </c>
      <c r="D16" t="str">
        <f>_xlfn.IFNA(VLOOKUP(A16,EST!A:N,14,FALSE),"")</f>
        <v>Remmo Panaligan</v>
      </c>
    </row>
    <row r="17" spans="1:4" x14ac:dyDescent="0.3">
      <c r="A17" t="s">
        <v>100</v>
      </c>
      <c r="B17" s="29">
        <v>46321</v>
      </c>
      <c r="C17" t="s">
        <v>76</v>
      </c>
      <c r="D17" t="str">
        <f>_xlfn.IFNA(VLOOKUP(A17,EST!A:N,14,FALSE),"")</f>
        <v>Remmo Panaligan</v>
      </c>
    </row>
    <row r="18" spans="1:4" x14ac:dyDescent="0.3">
      <c r="A18" t="s">
        <v>93</v>
      </c>
      <c r="B18" s="29">
        <v>46321</v>
      </c>
      <c r="C18" t="s">
        <v>76</v>
      </c>
      <c r="D18" t="str">
        <f>_xlfn.IFNA(VLOOKUP(A18,EST!A:N,14,FALSE),"")</f>
        <v>Anmecha Valencia</v>
      </c>
    </row>
    <row r="19" spans="1:4" x14ac:dyDescent="0.3">
      <c r="A19" t="s">
        <v>130</v>
      </c>
      <c r="B19" s="29">
        <v>46322</v>
      </c>
      <c r="C19" t="s">
        <v>76</v>
      </c>
      <c r="D19" t="str">
        <f>_xlfn.IFNA(VLOOKUP(A19,EST!A:N,14,FALSE),"")</f>
        <v>Michael Dominguez</v>
      </c>
    </row>
    <row r="20" spans="1:4" x14ac:dyDescent="0.3">
      <c r="A20" t="s">
        <v>106</v>
      </c>
      <c r="B20" s="29">
        <v>46322</v>
      </c>
      <c r="C20" t="s">
        <v>76</v>
      </c>
      <c r="D20" t="str">
        <f>_xlfn.IFNA(VLOOKUP(A20,EST!A:N,14,FALSE),"")</f>
        <v>Remmo Panaligan</v>
      </c>
    </row>
    <row r="21" spans="1:4" x14ac:dyDescent="0.3">
      <c r="A21" t="s">
        <v>100</v>
      </c>
      <c r="B21" s="29">
        <v>46322</v>
      </c>
      <c r="C21" t="s">
        <v>76</v>
      </c>
      <c r="D21" t="str">
        <f>_xlfn.IFNA(VLOOKUP(A21,EST!A:N,14,FALSE),"")</f>
        <v>Remmo Panaligan</v>
      </c>
    </row>
    <row r="22" spans="1:4" x14ac:dyDescent="0.3">
      <c r="A22" t="s">
        <v>93</v>
      </c>
      <c r="B22" s="29">
        <v>46322</v>
      </c>
      <c r="C22" t="s">
        <v>76</v>
      </c>
      <c r="D22" t="str">
        <f>_xlfn.IFNA(VLOOKUP(A22,EST!A:N,14,FALSE),"")</f>
        <v>Anmecha Valencia</v>
      </c>
    </row>
    <row r="23" spans="1:4" x14ac:dyDescent="0.3">
      <c r="A23" t="s">
        <v>97</v>
      </c>
      <c r="B23" s="29">
        <v>46322</v>
      </c>
      <c r="C23" t="s">
        <v>76</v>
      </c>
      <c r="D23" t="str">
        <f>_xlfn.IFNA(VLOOKUP(A23,EST!A:N,14,FALSE),"")</f>
        <v>Christopher Rodas</v>
      </c>
    </row>
    <row r="24" spans="1:4" x14ac:dyDescent="0.3">
      <c r="A24" t="s">
        <v>97</v>
      </c>
      <c r="B24" s="29">
        <v>46323</v>
      </c>
      <c r="C24" t="s">
        <v>76</v>
      </c>
      <c r="D24" t="str">
        <f>_xlfn.IFNA(VLOOKUP(A24,EST!A:N,14,FALSE),"")</f>
        <v>Christopher Rodas</v>
      </c>
    </row>
    <row r="25" spans="1:4" x14ac:dyDescent="0.3">
      <c r="A25" t="s">
        <v>80</v>
      </c>
      <c r="B25" s="29">
        <v>46323</v>
      </c>
      <c r="C25" t="s">
        <v>76</v>
      </c>
      <c r="D25" t="str">
        <f>_xlfn.IFNA(VLOOKUP(A25,EST!A:N,14,FALSE),"")</f>
        <v>Manilyn Abellar</v>
      </c>
    </row>
    <row r="26" spans="1:4" x14ac:dyDescent="0.3">
      <c r="A26" s="40" t="s">
        <v>136</v>
      </c>
      <c r="B26" s="29">
        <v>46323</v>
      </c>
      <c r="C26" t="s">
        <v>75</v>
      </c>
      <c r="D26" t="str">
        <f>_xlfn.IFNA(VLOOKUP(A26,EST!A:N,14,FALSE),"")</f>
        <v>Manilyn Abellar</v>
      </c>
    </row>
    <row r="27" spans="1:4" x14ac:dyDescent="0.3">
      <c r="A27" t="s">
        <v>115</v>
      </c>
      <c r="B27" s="29">
        <v>46324</v>
      </c>
      <c r="C27" t="s">
        <v>76</v>
      </c>
      <c r="D27" t="str">
        <f>_xlfn.IFNA(VLOOKUP(A27,EST!A:N,14,FALSE),"")</f>
        <v>Remmo Panaligan</v>
      </c>
    </row>
    <row r="28" spans="1:4" x14ac:dyDescent="0.3">
      <c r="A28" t="s">
        <v>88</v>
      </c>
      <c r="B28" s="29">
        <v>46324</v>
      </c>
      <c r="C28" t="s">
        <v>76</v>
      </c>
      <c r="D28" t="str">
        <f>_xlfn.IFNA(VLOOKUP(A28,EST!A:N,14,FALSE),"")</f>
        <v>Christopher Rodas</v>
      </c>
    </row>
    <row r="29" spans="1:4" x14ac:dyDescent="0.3">
      <c r="A29" t="s">
        <v>93</v>
      </c>
      <c r="B29" s="29">
        <v>46324</v>
      </c>
      <c r="C29" t="s">
        <v>76</v>
      </c>
      <c r="D29" t="str">
        <f>_xlfn.IFNA(VLOOKUP(A29,EST!A:N,14,FALSE),"")</f>
        <v>Anmecha Valencia</v>
      </c>
    </row>
    <row r="30" spans="1:4" x14ac:dyDescent="0.3">
      <c r="A30" t="s">
        <v>108</v>
      </c>
      <c r="B30" s="29">
        <v>46324</v>
      </c>
      <c r="C30" t="s">
        <v>76</v>
      </c>
      <c r="D30" t="str">
        <f>_xlfn.IFNA(VLOOKUP(A30,EST!A:N,14,FALSE),"")</f>
        <v>Manilyn Abellar</v>
      </c>
    </row>
    <row r="31" spans="1:4" x14ac:dyDescent="0.3">
      <c r="A31" s="39" t="s">
        <v>136</v>
      </c>
      <c r="B31" s="29">
        <v>46324</v>
      </c>
      <c r="C31" t="s">
        <v>75</v>
      </c>
      <c r="D31" t="str">
        <f>_xlfn.IFNA(VLOOKUP(A31,EST!A:N,14,FALSE),"")</f>
        <v>Manilyn Abellar</v>
      </c>
    </row>
    <row r="32" spans="1:4" x14ac:dyDescent="0.3">
      <c r="A32" s="41" t="s">
        <v>135</v>
      </c>
      <c r="B32" s="29">
        <v>46324</v>
      </c>
      <c r="C32" t="s">
        <v>75</v>
      </c>
      <c r="D32" t="str">
        <f>_xlfn.IFNA(VLOOKUP(A32,EST!A:N,14,FALSE),"")</f>
        <v>Manilyn Abellar</v>
      </c>
    </row>
    <row r="33" spans="1:4" x14ac:dyDescent="0.3">
      <c r="A33" s="41" t="s">
        <v>101</v>
      </c>
      <c r="B33" s="29">
        <v>46325</v>
      </c>
      <c r="C33" t="s">
        <v>76</v>
      </c>
      <c r="D33" t="str">
        <f>_xlfn.IFNA(VLOOKUP(A33,EST!A:N,14,FALSE),"")</f>
        <v>Manilyn Abellar</v>
      </c>
    </row>
    <row r="34" spans="1:4" x14ac:dyDescent="0.3">
      <c r="A34" s="39" t="s">
        <v>136</v>
      </c>
      <c r="B34" s="29">
        <v>46325</v>
      </c>
      <c r="C34" t="s">
        <v>75</v>
      </c>
      <c r="D34" t="str">
        <f>_xlfn.IFNA(VLOOKUP(A34,EST!A:N,14,FALSE),"")</f>
        <v>Manilyn Abellar</v>
      </c>
    </row>
    <row r="35" spans="1:4" x14ac:dyDescent="0.3">
      <c r="A35" s="41" t="s">
        <v>135</v>
      </c>
      <c r="B35" s="29">
        <v>46325</v>
      </c>
      <c r="C35" t="s">
        <v>75</v>
      </c>
      <c r="D35" t="str">
        <f>_xlfn.IFNA(VLOOKUP(A35,EST!A:N,14,FALSE),"")</f>
        <v>Manilyn Abellar</v>
      </c>
    </row>
    <row r="36" spans="1:4" x14ac:dyDescent="0.3">
      <c r="A36" t="s">
        <v>95</v>
      </c>
      <c r="B36" s="29">
        <v>46326</v>
      </c>
      <c r="C36" t="s">
        <v>76</v>
      </c>
      <c r="D36" t="str">
        <f>_xlfn.IFNA(VLOOKUP(A36,EST!A:N,14,FALSE),"")</f>
        <v>Christopher Rodas</v>
      </c>
    </row>
    <row r="37" spans="1:4" x14ac:dyDescent="0.3">
      <c r="A37" s="39" t="s">
        <v>136</v>
      </c>
      <c r="B37" s="29">
        <v>46326</v>
      </c>
      <c r="C37" t="s">
        <v>75</v>
      </c>
      <c r="D37" t="str">
        <f>_xlfn.IFNA(VLOOKUP(A37,EST!A:N,14,FALSE),"")</f>
        <v>Manilyn Abellar</v>
      </c>
    </row>
    <row r="38" spans="1:4" x14ac:dyDescent="0.3">
      <c r="A38" t="s">
        <v>135</v>
      </c>
      <c r="B38" s="29">
        <v>46326</v>
      </c>
      <c r="C38" t="s">
        <v>75</v>
      </c>
      <c r="D38" t="str">
        <f>_xlfn.IFNA(VLOOKUP(A38,EST!A:N,14,FALSE),"")</f>
        <v>Manilyn Abellar</v>
      </c>
    </row>
    <row r="39" spans="1:4" x14ac:dyDescent="0.3">
      <c r="A39" t="s">
        <v>135</v>
      </c>
      <c r="B39" s="29">
        <v>46327</v>
      </c>
      <c r="C39" t="s">
        <v>75</v>
      </c>
      <c r="D39" t="str">
        <f>_xlfn.IFNA(VLOOKUP(A39,EST!A:N,14,FALSE),"")</f>
        <v>Manilyn Abellar</v>
      </c>
    </row>
  </sheetData>
  <conditionalFormatting sqref="A2">
    <cfRule type="cellIs" dxfId="1" priority="2" operator="equal">
      <formula>"OFF"</formula>
    </cfRule>
  </conditionalFormatting>
  <conditionalFormatting sqref="A13">
    <cfRule type="cellIs" dxfId="0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4"/>
  <sheetViews>
    <sheetView workbookViewId="0">
      <selection activeCell="F14" sqref="F14"/>
    </sheetView>
  </sheetViews>
  <sheetFormatPr defaultRowHeight="14.4" x14ac:dyDescent="0.3"/>
  <cols>
    <col min="1" max="1" width="28.6640625" style="27" bestFit="1" customWidth="1"/>
    <col min="2" max="2" width="15.33203125" style="29" customWidth="1"/>
    <col min="3" max="3" width="21.6640625" style="27" bestFit="1" customWidth="1"/>
    <col min="4" max="4" width="16.6640625" bestFit="1" customWidth="1"/>
  </cols>
  <sheetData>
    <row r="1" spans="1:4" ht="17.399999999999999" thickBot="1" x14ac:dyDescent="0.35">
      <c r="A1" s="25" t="s">
        <v>0</v>
      </c>
      <c r="B1" s="28" t="s">
        <v>68</v>
      </c>
      <c r="C1" s="25" t="s">
        <v>69</v>
      </c>
      <c r="D1" s="25" t="s">
        <v>13</v>
      </c>
    </row>
    <row r="2" spans="1:4" x14ac:dyDescent="0.3">
      <c r="A2" s="26" t="s">
        <v>91</v>
      </c>
      <c r="B2" s="29">
        <v>46315</v>
      </c>
      <c r="C2" s="27" t="s">
        <v>70</v>
      </c>
      <c r="D2" t="str">
        <f>VLOOKUP(A2,EST!A:N,14,FALSE)</f>
        <v>Anmecha Valencia</v>
      </c>
    </row>
    <row r="3" spans="1:4" x14ac:dyDescent="0.3">
      <c r="A3" s="27" t="s">
        <v>98</v>
      </c>
      <c r="B3" s="29">
        <v>46316</v>
      </c>
      <c r="C3" s="27" t="s">
        <v>71</v>
      </c>
      <c r="D3" t="str">
        <f>VLOOKUP(A3,EST!A:N,14,FALSE)</f>
        <v>Michael Dominguez</v>
      </c>
    </row>
    <row r="4" spans="1:4" x14ac:dyDescent="0.3">
      <c r="A4" s="11" t="s">
        <v>91</v>
      </c>
      <c r="B4" s="29">
        <v>46316</v>
      </c>
      <c r="C4" s="27" t="s">
        <v>72</v>
      </c>
      <c r="D4" t="str">
        <f>VLOOKUP(A4,EST!A:N,14,FALSE)</f>
        <v>Anmecha Valencia</v>
      </c>
    </row>
    <row r="5" spans="1:4" x14ac:dyDescent="0.3">
      <c r="A5" s="27" t="s">
        <v>112</v>
      </c>
      <c r="B5" s="29">
        <v>46316</v>
      </c>
      <c r="C5" s="27" t="s">
        <v>73</v>
      </c>
      <c r="D5" t="str">
        <f>VLOOKUP(A5,EST!A:N,14,FALSE)</f>
        <v>Christopher Rodas</v>
      </c>
    </row>
    <row r="6" spans="1:4" x14ac:dyDescent="0.3">
      <c r="A6" s="16" t="s">
        <v>79</v>
      </c>
      <c r="B6" s="29">
        <v>46318</v>
      </c>
      <c r="C6" s="27" t="s">
        <v>70</v>
      </c>
      <c r="D6" t="str">
        <f>VLOOKUP(A6,EST!A:N,14,FALSE)</f>
        <v>Manilyn Abellar</v>
      </c>
    </row>
    <row r="7" spans="1:4" x14ac:dyDescent="0.3">
      <c r="A7" s="11" t="s">
        <v>132</v>
      </c>
      <c r="B7" s="29">
        <v>46318</v>
      </c>
      <c r="C7" s="27" t="s">
        <v>70</v>
      </c>
      <c r="D7" t="str">
        <f>VLOOKUP(A7,EST!A:N,14,FALSE)</f>
        <v>Anmecha Valencia</v>
      </c>
    </row>
    <row r="8" spans="1:4" x14ac:dyDescent="0.3">
      <c r="A8" s="27" t="s">
        <v>124</v>
      </c>
      <c r="B8" s="29">
        <v>46319</v>
      </c>
      <c r="C8" s="27" t="s">
        <v>70</v>
      </c>
      <c r="D8" t="str">
        <f>_xlfn.IFNA(VLOOKUP(A8,EST!A:N,14,FALSE),"")</f>
        <v>Christopher Rodas</v>
      </c>
    </row>
    <row r="9" spans="1:4" x14ac:dyDescent="0.3">
      <c r="A9" s="27" t="s">
        <v>128</v>
      </c>
      <c r="B9" s="29">
        <v>46319</v>
      </c>
      <c r="C9" s="27" t="s">
        <v>70</v>
      </c>
      <c r="D9" t="str">
        <f>_xlfn.IFNA(VLOOKUP(A9,EST!A:N,14,FALSE),"")</f>
        <v>Anmecha Valencia</v>
      </c>
    </row>
    <row r="10" spans="1:4" x14ac:dyDescent="0.3">
      <c r="D10" t="str">
        <f>_xlfn.IFNA(VLOOKUP(A10,EST!A:N,14,FALSE),"")</f>
        <v/>
      </c>
    </row>
    <row r="11" spans="1:4" x14ac:dyDescent="0.3">
      <c r="D11" t="str">
        <f>_xlfn.IFNA(VLOOKUP(A11,EST!A:N,14,FALSE),"")</f>
        <v/>
      </c>
    </row>
    <row r="12" spans="1:4" x14ac:dyDescent="0.3">
      <c r="D12" t="str">
        <f>_xlfn.IFNA(VLOOKUP(A12,EST!A:N,14,FALSE),"")</f>
        <v/>
      </c>
    </row>
    <row r="13" spans="1:4" x14ac:dyDescent="0.3">
      <c r="D13" t="str">
        <f>_xlfn.IFNA(VLOOKUP(A13,EST!A:N,14,FALSE),"")</f>
        <v/>
      </c>
    </row>
    <row r="14" spans="1:4" x14ac:dyDescent="0.3">
      <c r="D14" t="str">
        <f>_xlfn.IFNA(VLOOKUP(A14,EST!A:N,14,FALSE),"")</f>
        <v/>
      </c>
    </row>
  </sheetData>
  <conditionalFormatting sqref="A2">
    <cfRule type="cellIs" dxfId="4" priority="4" operator="equal">
      <formula>"OFF"</formula>
    </cfRule>
  </conditionalFormatting>
  <conditionalFormatting sqref="A4">
    <cfRule type="cellIs" dxfId="3" priority="3" operator="equal">
      <formula>"OFF"</formula>
    </cfRule>
  </conditionalFormatting>
  <conditionalFormatting sqref="A6:A7">
    <cfRule type="cellIs" dxfId="2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7700-2D03-4486-A0AF-FA08592CEE8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EST</vt:lpstr>
      <vt:lpstr>PH</vt:lpstr>
      <vt:lpstr>PTO</vt:lpstr>
      <vt:lpstr>Called OFF</vt:lpstr>
      <vt:lpstr>Notes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>Abellar, Manilyn -ND</cp:lastModifiedBy>
  <cp:revision/>
  <dcterms:created xsi:type="dcterms:W3CDTF">2026-10-19T19:40:00Z</dcterms:created>
  <dcterms:modified xsi:type="dcterms:W3CDTF">2026-10-25T07:14:19Z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