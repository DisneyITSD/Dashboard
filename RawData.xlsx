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32" documentId="8_{3D986408-3F70-4028-ABB2-0B6A1225D05C}" xr6:coauthVersionLast="47" xr6:coauthVersionMax="47" xr10:uidLastSave="{6D960F48-3D58-4C01-AB4F-CFDE5F5921A5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0" i="2" l="1"/>
  <c r="D31" i="2"/>
  <c r="D32" i="2"/>
  <c r="D33" i="2"/>
  <c r="D34" i="2"/>
  <c r="D35" i="2"/>
  <c r="D36" i="2"/>
  <c r="D37" i="2"/>
  <c r="D38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<sst xmlns="http://schemas.openxmlformats.org/spreadsheetml/2006/main" count="829" uniqueCount="140">
  <si>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</si>
  <si>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</si>
  <si>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</si>
  <si>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</si>
  <si>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</si>
  <si>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</si>
  <si>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</si>
  <si>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</si>
  <si>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</si>
  <si>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</si>
  <si>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</si>
  <si>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</si>
  <si>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</si>
  <si>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</si>
  <si>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</si>
  <si>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</si>
  <si>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</si>
  <si>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</si>
  <si>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</si>
  <si>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</si>
  <si>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</si>
  <si>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</si>
  <si>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</si>
  <si>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</si>
  <si>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</si>
  <si>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</si>
  <si>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</si>
  <si>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</si>
  <si>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</si>
  <si>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</si>
  <si>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</si>
  <si>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</si>
  <si>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</si>
  <si>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</si>
  <si>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</si>
  <si>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</si>
  <si>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</si>
  <si>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</si>
  <si>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</si>
  <si>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</si>
  <si>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</si>
  <si>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</si>
  <si>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</si>
  <si>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</si>
  <si>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</si>
  <si>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</si>
  <si>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</si>
  <si>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</si>
  <si>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</si>
  <si>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</si>
  <si>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</si>
  <si>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</si>
  <si>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</si>
  <si>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</si>
  <si>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</si>
  <si>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</si>
  <si>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</si>
  <si>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</si>
  <si>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</si>
  <si>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</si>
  <si>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</si>
  <si>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</si>
  <si>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</si>
  <si>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</si>
  <si>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</si>
  <si>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</si>
  <si>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</si>
  <si>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</si>
  <si>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</si>
  <si>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</si>
  <si>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</si>
  <si>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</si>
  <si>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</si>
  <si>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</si>
  <si>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</si>
  <si>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</si>
  <si>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</si>
  <si>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</si>
  <si>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</si>
  <si>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</si>
  <si>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</si>
  <si>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</si>
  <si>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</si>
  <si>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</si>
  <si>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</si>
  <si>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</si>
  <si>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</si>
  <si>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</si>
  <si>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</si>
  <si>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</si>
  <si>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</si>
  <si>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</si>
  <si>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</si>
  <si>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</si>
  <si>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</si>
  <si>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</si>
  <si>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</si>
  <si>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</si>
  <si>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</si>
  <si>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</si>
  <si>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</si>
  <si>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</si>
  <si>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</si>
  <si>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</si>
  <si>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</si>
  <si>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</si>
  <si>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</si>
  <si>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</si>
  <si>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</si>
  <si>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</si>
  <si>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</si>
  <si>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</si>
  <si>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</si>
  <si>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</si>
  <si>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</si>
  <si>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</si>
  <si>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</si>
  <si>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</si>
  <si>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</si>
  <si>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</si>
  <si>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</si>
  <si>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</si>
  <si>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</si>
  <si>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</si>
  <si>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</si>
  <si>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</si>
  <si>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</si>
  <si>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</si>
  <si>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</si>
  <si>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</si>
  <si>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</si>
  <si>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</si>
  <si>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</si>
  <si>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</si>
  <si>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</si>
  <si>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</si>
  <si>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</si>
  <si>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</si>
  <si>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</si>
  <si>
    <t>CARLOS KIAMCO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</si>
</sst>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abSelected="1" zoomScaleNormal="100" workbookViewId="0">
      <selection activeCell="B22" sqref="B22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137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139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70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71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72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123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73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74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75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76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77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79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80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81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82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83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84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85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86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87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88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127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89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90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91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92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93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94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95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96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97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98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99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100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101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102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103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104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105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106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107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108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109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110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111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112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113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114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115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116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78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117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118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119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A9" sqref="A9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138</v>
      </c>
      <c r="P1" s="39" t="s">
        <v>128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132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130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132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133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129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134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135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131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131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8"/>
  <sheetViews>
    <sheetView workbookViewId="0">
      <selection activeCell="A3" sqref="A3:A29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136</v>
      </c>
      <c r="C1" s="24" t="s">
        <v>120</v>
      </c>
      <c r="D1" s="24" t="s">
        <v>13</v>
      </c>
    </row>
    <row r="2" spans="1:4" x14ac:dyDescent="0.3">
      <c r="A2" s="16" t="s">
        <v>86</v>
      </c>
      <c r="B2" s="29">
        <v>46315</v>
      </c>
      <c r="C2" t="s">
        <v>122</v>
      </c>
      <c r="D2" t="str">
        <f>_xlfn.IFNA(VLOOKUP(A2,EST!A:N,14,FALSE),"")</f>
        <v>Christopher Rodas</v>
      </c>
    </row>
    <row r="3" spans="1:4" x14ac:dyDescent="0.3">
      <c r="A3" t="s">
        <v>69</v>
      </c>
      <c r="B3" s="29">
        <v>46315</v>
      </c>
      <c r="C3" t="s">
        <v>122</v>
      </c>
      <c r="D3" t="str">
        <f>_xlfn.IFNA(VLOOKUP(A3,EST!A:N,14,FALSE),"")</f>
        <v>Michael Dominguez</v>
      </c>
    </row>
    <row r="4" spans="1:4" x14ac:dyDescent="0.3">
      <c r="A4" t="s">
        <v>63</v>
      </c>
      <c r="B4" s="29">
        <v>46315</v>
      </c>
      <c r="C4" t="s">
        <v>122</v>
      </c>
      <c r="D4" t="str">
        <f>_xlfn.IFNA(VLOOKUP(A4,EST!A:N,14,FALSE),"")</f>
        <v>Remmo Panaligan</v>
      </c>
    </row>
    <row r="5" spans="1:4" x14ac:dyDescent="0.3">
      <c r="A5" t="s">
        <v>79</v>
      </c>
      <c r="B5" s="29">
        <v>46316</v>
      </c>
      <c r="C5" t="s">
        <v>122</v>
      </c>
      <c r="D5" t="str">
        <f>_xlfn.IFNA(VLOOKUP(A5,EST!A:N,14,FALSE),"")</f>
        <v>Michael Dominguez</v>
      </c>
    </row>
    <row r="6" spans="1:4" x14ac:dyDescent="0.3">
      <c r="A6" t="s">
        <v>93</v>
      </c>
      <c r="B6" s="29">
        <v>46317</v>
      </c>
      <c r="C6" t="s">
        <v>122</v>
      </c>
      <c r="D6" t="str">
        <f>_xlfn.IFNA(VLOOKUP(A6,EST!A:N,14,FALSE),"")</f>
        <v>Manilyn Abellar</v>
      </c>
    </row>
    <row r="7" spans="1:4" x14ac:dyDescent="0.3">
      <c r="A7" t="s">
        <v>71</v>
      </c>
      <c r="B7" s="29">
        <v>46317</v>
      </c>
      <c r="C7" t="s">
        <v>122</v>
      </c>
      <c r="D7" t="str">
        <f>_xlfn.IFNA(VLOOKUP(A7,EST!A:N,14,FALSE),"")</f>
        <v>Anmecha Valencia</v>
      </c>
    </row>
    <row r="8" spans="1:4" x14ac:dyDescent="0.3">
      <c r="A8" t="s">
        <v>79</v>
      </c>
      <c r="B8" s="29">
        <v>46317</v>
      </c>
      <c r="C8" t="s">
        <v>122</v>
      </c>
      <c r="D8" t="str">
        <f>_xlfn.IFNA(VLOOKUP(A8,EST!A:N,14,FALSE),"")</f>
        <v>Michael Dominguez</v>
      </c>
    </row>
    <row r="9" spans="1:4" x14ac:dyDescent="0.3">
      <c r="A9" t="s">
        <v>77</v>
      </c>
      <c r="B9" s="29">
        <v>46318</v>
      </c>
      <c r="C9" t="s">
        <v>122</v>
      </c>
      <c r="D9" t="str">
        <f>_xlfn.IFNA(VLOOKUP(A9,EST!A:N,14,FALSE),"")</f>
        <v>Anmecha Valencia</v>
      </c>
    </row>
    <row r="10" spans="1:4" x14ac:dyDescent="0.3">
      <c r="A10" t="s">
        <v>72</v>
      </c>
      <c r="B10" s="29">
        <v>46318</v>
      </c>
      <c r="C10" t="s">
        <v>122</v>
      </c>
      <c r="D10" t="str">
        <f>_xlfn.IFNA(VLOOKUP(A10,EST!A:N,14,FALSE),"")</f>
        <v>Michael Dominguez</v>
      </c>
    </row>
    <row r="11" spans="1:4" x14ac:dyDescent="0.3">
      <c r="A11" t="s">
        <v>114</v>
      </c>
      <c r="B11" s="29">
        <v>46318</v>
      </c>
      <c r="C11" t="s">
        <v>122</v>
      </c>
      <c r="D11" t="str">
        <f>_xlfn.IFNA(VLOOKUP(A11,EST!A:N,14,FALSE),"")</f>
        <v>Anmecha Valencia</v>
      </c>
    </row>
    <row r="12" spans="1:4" x14ac:dyDescent="0.3">
      <c r="A12" t="s">
        <v>106</v>
      </c>
      <c r="B12" s="29">
        <v>46320</v>
      </c>
      <c r="C12" t="s">
        <v>122</v>
      </c>
      <c r="D12" t="str">
        <f>_xlfn.IFNA(VLOOKUP(A12,EST!A:N,14,FALSE),"")</f>
        <v>Remmo Panaligan</v>
      </c>
    </row>
    <row r="13" spans="1:4" x14ac:dyDescent="0.3">
      <c r="A13" t="s">
        <v>116</v>
      </c>
      <c r="B13" s="29">
        <v>46321</v>
      </c>
      <c r="C13" t="s">
        <v>122</v>
      </c>
      <c r="D13" t="str">
        <f>_xlfn.IFNA(VLOOKUP(A13,EST!A:N,14,FALSE),"")</f>
        <v>Michael Dominguez</v>
      </c>
    </row>
    <row r="14" spans="1:4" x14ac:dyDescent="0.3">
      <c r="A14" t="s">
        <v>91</v>
      </c>
      <c r="B14" s="29">
        <v>46321</v>
      </c>
      <c r="C14" t="s">
        <v>122</v>
      </c>
      <c r="D14" t="str">
        <f>_xlfn.IFNA(VLOOKUP(A14,EST!A:N,14,FALSE),"")</f>
        <v>Remmo Panaligan</v>
      </c>
    </row>
    <row r="15" spans="1:4" x14ac:dyDescent="0.3">
      <c r="A15" t="s">
        <v>85</v>
      </c>
      <c r="B15" s="29">
        <v>46321</v>
      </c>
      <c r="C15" t="s">
        <v>122</v>
      </c>
      <c r="D15" t="str">
        <f>_xlfn.IFNA(VLOOKUP(A15,EST!A:N,14,FALSE),"")</f>
        <v>Remmo Panaligan</v>
      </c>
    </row>
    <row r="16" spans="1:4" x14ac:dyDescent="0.3">
      <c r="A16" t="s">
        <v>77</v>
      </c>
      <c r="B16" s="29">
        <v>46321</v>
      </c>
      <c r="C16" t="s">
        <v>122</v>
      </c>
      <c r="D16" t="str">
        <f>_xlfn.IFNA(VLOOKUP(A16,EST!A:N,14,FALSE),"")</f>
        <v>Anmecha Valencia</v>
      </c>
    </row>
    <row r="17" spans="1:4" x14ac:dyDescent="0.3">
      <c r="A17" t="s">
        <v>116</v>
      </c>
      <c r="B17" s="29">
        <v>46322</v>
      </c>
      <c r="C17" t="s">
        <v>122</v>
      </c>
      <c r="D17" t="str">
        <f>_xlfn.IFNA(VLOOKUP(A17,EST!A:N,14,FALSE),"")</f>
        <v>Michael Dominguez</v>
      </c>
    </row>
    <row r="18" spans="1:4" x14ac:dyDescent="0.3">
      <c r="A18" t="s">
        <v>91</v>
      </c>
      <c r="B18" s="29">
        <v>46322</v>
      </c>
      <c r="C18" t="s">
        <v>122</v>
      </c>
      <c r="D18" t="str">
        <f>_xlfn.IFNA(VLOOKUP(A18,EST!A:N,14,FALSE),"")</f>
        <v>Remmo Panaligan</v>
      </c>
    </row>
    <row r="19" spans="1:4" x14ac:dyDescent="0.3">
      <c r="A19" t="s">
        <v>85</v>
      </c>
      <c r="B19" s="29">
        <v>46322</v>
      </c>
      <c r="C19" t="s">
        <v>122</v>
      </c>
      <c r="D19" t="str">
        <f>_xlfn.IFNA(VLOOKUP(A19,EST!A:N,14,FALSE),"")</f>
        <v>Remmo Panaligan</v>
      </c>
    </row>
    <row r="20" spans="1:4" x14ac:dyDescent="0.3">
      <c r="A20" t="s">
        <v>77</v>
      </c>
      <c r="B20" s="29">
        <v>46322</v>
      </c>
      <c r="C20" t="s">
        <v>122</v>
      </c>
      <c r="D20" t="str">
        <f>_xlfn.IFNA(VLOOKUP(A20,EST!A:N,14,FALSE),"")</f>
        <v>Anmecha Valencia</v>
      </c>
    </row>
    <row r="21" spans="1:4" x14ac:dyDescent="0.3">
      <c r="A21" t="s">
        <v>82</v>
      </c>
      <c r="B21" s="29">
        <v>46322</v>
      </c>
      <c r="C21" t="s">
        <v>122</v>
      </c>
      <c r="D21" t="str">
        <f>_xlfn.IFNA(VLOOKUP(A21,EST!A:N,14,FALSE),"")</f>
        <v>Christopher Rodas</v>
      </c>
    </row>
    <row r="22" spans="1:4" x14ac:dyDescent="0.3">
      <c r="A22" t="s">
        <v>82</v>
      </c>
      <c r="B22" s="29">
        <v>46323</v>
      </c>
      <c r="C22" t="s">
        <v>122</v>
      </c>
      <c r="D22" t="str">
        <f>_xlfn.IFNA(VLOOKUP(A22,EST!A:N,14,FALSE),"")</f>
        <v>Christopher Rodas</v>
      </c>
    </row>
    <row r="23" spans="1:4" x14ac:dyDescent="0.3">
      <c r="A23" t="s">
        <v>66</v>
      </c>
      <c r="B23" s="29">
        <v>46323</v>
      </c>
      <c r="C23" t="s">
        <v>122</v>
      </c>
      <c r="D23" t="str">
        <f>_xlfn.IFNA(VLOOKUP(A23,EST!A:N,14,FALSE),"")</f>
        <v>Manilyn Abellar</v>
      </c>
    </row>
    <row r="24" spans="1:4" x14ac:dyDescent="0.3">
      <c r="A24" t="s">
        <v>100</v>
      </c>
      <c r="B24" s="29">
        <v>46324</v>
      </c>
      <c r="C24" t="s">
        <v>122</v>
      </c>
      <c r="D24" t="str">
        <f>_xlfn.IFNA(VLOOKUP(A24,EST!A:N,14,FALSE),"")</f>
        <v>Remmo Panaligan</v>
      </c>
    </row>
    <row r="25" spans="1:4" x14ac:dyDescent="0.3">
      <c r="A25" t="s">
        <v>123</v>
      </c>
      <c r="B25" s="29">
        <v>46324</v>
      </c>
      <c r="C25" t="s">
        <v>122</v>
      </c>
      <c r="D25" t="str">
        <f>_xlfn.IFNA(VLOOKUP(A25,EST!A:N,14,FALSE),"")</f>
        <v>Christopher Rodas</v>
      </c>
    </row>
    <row r="26" spans="1:4" x14ac:dyDescent="0.3">
      <c r="A26" t="s">
        <v>77</v>
      </c>
      <c r="B26" s="29">
        <v>46324</v>
      </c>
      <c r="C26" t="s">
        <v>122</v>
      </c>
      <c r="D26" t="str">
        <f>_xlfn.IFNA(VLOOKUP(A26,EST!A:N,14,FALSE),"")</f>
        <v>Anmecha Valencia</v>
      </c>
    </row>
    <row r="27" spans="1:4" x14ac:dyDescent="0.3">
      <c r="A27" t="s">
        <v>93</v>
      </c>
      <c r="B27" s="29">
        <v>46324</v>
      </c>
      <c r="C27" t="s">
        <v>122</v>
      </c>
      <c r="D27" t="str">
        <f>_xlfn.IFNA(VLOOKUP(A27,EST!A:N,14,FALSE),"")</f>
        <v>Manilyn Abellar</v>
      </c>
    </row>
    <row r="28" spans="1:4" x14ac:dyDescent="0.3">
      <c r="A28" t="s">
        <v>87</v>
      </c>
      <c r="B28" s="29">
        <v>46325</v>
      </c>
      <c r="C28" t="s">
        <v>122</v>
      </c>
      <c r="D28" t="str">
        <f>_xlfn.IFNA(VLOOKUP(A28,EST!A:N,14,FALSE),"")</f>
        <v>Manilyn Abellar</v>
      </c>
    </row>
    <row r="29" spans="1:4" x14ac:dyDescent="0.3">
      <c r="A29" t="s">
        <v>80</v>
      </c>
      <c r="B29" s="29">
        <v>46326</v>
      </c>
      <c r="C29" t="s">
        <v>122</v>
      </c>
      <c r="D29" t="str">
        <f>_xlfn.IFNA(VLOOKUP(A29,EST!A:N,14,FALSE),"")</f>
        <v>Christopher Rodas</v>
      </c>
    </row>
    <row r="30" spans="1:4" x14ac:dyDescent="0.3">
      <c r="D30" t="str">
        <f>_xlfn.IFNA(VLOOKUP(A30,EST!A:N,14,FALSE),"")</f>
        <v/>
      </c>
    </row>
    <row r="31" spans="1:4" x14ac:dyDescent="0.3">
      <c r="D31" t="str">
        <f>_xlfn.IFNA(VLOOKUP(A31,EST!A:N,14,FALSE),"")</f>
        <v/>
      </c>
    </row>
    <row r="32" spans="1:4" x14ac:dyDescent="0.3">
      <c r="D32" t="str">
        <f>_xlfn.IFNA(VLOOKUP(A32,EST!A:N,14,FALSE),"")</f>
        <v/>
      </c>
    </row>
    <row r="33" spans="4:4" x14ac:dyDescent="0.3">
      <c r="D33" t="str">
        <f>_xlfn.IFNA(VLOOKUP(A33,EST!A:N,14,FALSE),"")</f>
        <v/>
      </c>
    </row>
    <row r="34" spans="4:4" x14ac:dyDescent="0.3">
      <c r="D34" t="str">
        <f>_xlfn.IFNA(VLOOKUP(A34,EST!A:N,14,FALSE),"")</f>
        <v/>
      </c>
    </row>
    <row r="35" spans="4:4" x14ac:dyDescent="0.3">
      <c r="D35" t="str">
        <f>_xlfn.IFNA(VLOOKUP(A35,EST!A:N,14,FALSE),"")</f>
        <v/>
      </c>
    </row>
    <row r="36" spans="4:4" x14ac:dyDescent="0.3">
      <c r="D36" t="str">
        <f>_xlfn.IFNA(VLOOKUP(A36,EST!A:N,14,FALSE),"")</f>
        <v/>
      </c>
    </row>
    <row r="37" spans="4:4" x14ac:dyDescent="0.3">
      <c r="D37" t="str">
        <f>_xlfn.IFNA(VLOOKUP(A37,EST!A:N,14,FALSE),"")</f>
        <v/>
      </c>
    </row>
    <row r="38" spans="4:4" x14ac:dyDescent="0.3">
      <c r="D38" t="str">
        <f>_xlfn.IFNA(VLOOKUP(A38,EST!A:N,14,FALSE),"")</f>
        <v/>
      </c>
    </row>
  </sheetData>
  <autoFilter ref="A1:D1" xr:uid="{7AC4105F-36DE-413B-8CE0-3469CE31C697}">
    <sortState xmlns:xlrd2="http://schemas.microsoft.com/office/spreadsheetml/2017/richdata2" ref="A2:D36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19" sqref="A19"/>
    </sheetView>
  </sheetViews>
  <sheetFormatPr defaultRowHeight="14.4" x14ac:dyDescent="0.3"/>
  <cols>
    <col min="1" max="1" width="28.6640625" style="27" bestFit="1" customWidth="1"/>
    <col min="2" max="2" width="15.21875" style="29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136</v>
      </c>
      <c r="C1" s="25" t="s">
        <v>120</v>
      </c>
      <c r="D1" s="25" t="s">
        <v>13</v>
      </c>
    </row>
    <row r="2" spans="1:4" x14ac:dyDescent="0.3">
      <c r="A2" s="26" t="s">
        <v>75</v>
      </c>
      <c r="B2" s="29">
        <v>46315</v>
      </c>
      <c r="C2" s="27" t="s">
        <v>121</v>
      </c>
      <c r="D2" t="str">
        <f>VLOOKUP(A2,EST!A:N,14,FALSE)</f>
        <v>Anmecha Valencia</v>
      </c>
    </row>
    <row r="3" spans="1:4" x14ac:dyDescent="0.3">
      <c r="A3" s="27" t="s">
        <v>83</v>
      </c>
      <c r="B3" s="29">
        <v>46316</v>
      </c>
      <c r="C3" s="27" t="s">
        <v>124</v>
      </c>
      <c r="D3" t="str">
        <f>VLOOKUP(A3,EST!A:N,14,FALSE)</f>
        <v>Michael Dominguez</v>
      </c>
    </row>
    <row r="4" spans="1:4" x14ac:dyDescent="0.3">
      <c r="A4" s="11" t="s">
        <v>75</v>
      </c>
      <c r="B4" s="29">
        <v>46316</v>
      </c>
      <c r="C4" s="27" t="s">
        <v>125</v>
      </c>
      <c r="D4" t="str">
        <f>VLOOKUP(A4,EST!A:N,14,FALSE)</f>
        <v>Anmecha Valencia</v>
      </c>
    </row>
    <row r="5" spans="1:4" x14ac:dyDescent="0.3">
      <c r="A5" s="27" t="s">
        <v>97</v>
      </c>
      <c r="B5" s="29">
        <v>46316</v>
      </c>
      <c r="C5" s="27" t="s">
        <v>126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121</v>
      </c>
      <c r="D6" t="str">
        <f>VLOOKUP(A6,EST!A:N,14,FALSE)</f>
        <v>Manilyn Abellar</v>
      </c>
    </row>
    <row r="7" spans="1:4" x14ac:dyDescent="0.3">
      <c r="A7" s="11" t="s">
        <v>117</v>
      </c>
      <c r="B7" s="29">
        <v>46318</v>
      </c>
      <c r="C7" s="27" t="s">
        <v>121</v>
      </c>
      <c r="D7" t="str">
        <f>VLOOKUP(A7,EST!A:N,14,FALSE)</f>
        <v>Anmecha Valencia</v>
      </c>
    </row>
    <row r="8" spans="1:4" x14ac:dyDescent="0.3">
      <c r="A8" s="27" t="s">
        <v>110</v>
      </c>
      <c r="B8" s="29">
        <v>46319</v>
      </c>
      <c r="C8" s="27" t="s">
        <v>121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2026-10-24T21:45:32Z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