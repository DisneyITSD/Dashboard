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manilyn_abellar_-nd_disney_com/Documents/RealTimeDashboard/"/>
    </mc:Choice>
  </mc:AlternateContent>
  <xr:revisionPtr revIDLastSave="435" documentId="8_{3D986408-3F70-4028-ABB2-0B6A1225D05C}" xr6:coauthVersionLast="47" xr6:coauthVersionMax="47" xr10:uidLastSave="{9513046C-4E54-4001-9832-6CC406F420CF}"/>
  <bookViews>
    <workbookView xWindow="-108" yWindow="-108" windowWidth="23256" windowHeight="13896" activeTab="3" xr2:uid="{75395B83-6453-4C33-8933-D8D7F8DF6F8F}"/>
  </bookViews>
  <sheets>
    <sheet name="EST" sheetId="1" r:id="rId1"/>
    <sheet name="PH" sheetId="4" r:id="rId2"/>
    <sheet name="PTO" sheetId="2" r:id="rId3"/>
    <sheet name="Called OFF" sheetId="3" r:id="rId4"/>
  </sheets>
  <definedNames>
    <definedName name="_xlnm._FilterDatabase" localSheetId="0" hidden="1">EST!$A$1:$N$61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B4" i="4"/>
  <c r="C4" i="4"/>
  <c r="D4" i="4"/>
  <c r="E4" i="4"/>
  <c r="F4" i="4"/>
  <c r="G4" i="4"/>
  <c r="H4" i="4"/>
  <c r="B5" i="4"/>
  <c r="C5" i="4"/>
  <c r="D5" i="4"/>
  <c r="I5" i="4" s="1"/>
  <c r="E5" i="4"/>
  <c r="F5" i="4"/>
  <c r="G5" i="4"/>
  <c r="H5" i="4"/>
  <c r="B6" i="4"/>
  <c r="C6" i="4"/>
  <c r="D6" i="4"/>
  <c r="E6" i="4"/>
  <c r="F6" i="4"/>
  <c r="G6" i="4"/>
  <c r="H6" i="4"/>
  <c r="B7" i="4"/>
  <c r="C7" i="4"/>
  <c r="D7" i="4"/>
  <c r="E7" i="4"/>
  <c r="F7" i="4"/>
  <c r="G7" i="4"/>
  <c r="H7" i="4"/>
  <c r="B8" i="4"/>
  <c r="C8" i="4"/>
  <c r="D8" i="4"/>
  <c r="E8" i="4"/>
  <c r="F8" i="4"/>
  <c r="G8" i="4"/>
  <c r="H8" i="4"/>
  <c r="B9" i="4"/>
  <c r="C9" i="4"/>
  <c r="D9" i="4"/>
  <c r="E9" i="4"/>
  <c r="F9" i="4"/>
  <c r="G9" i="4"/>
  <c r="H9" i="4"/>
  <c r="B10" i="4"/>
  <c r="C10" i="4"/>
  <c r="D10" i="4"/>
  <c r="E10" i="4"/>
  <c r="F10" i="4"/>
  <c r="G10" i="4"/>
  <c r="H10" i="4"/>
  <c r="B11" i="4"/>
  <c r="C11" i="4"/>
  <c r="D11" i="4"/>
  <c r="E11" i="4"/>
  <c r="F11" i="4"/>
  <c r="G11" i="4"/>
  <c r="H11" i="4"/>
  <c r="B12" i="4"/>
  <c r="C12" i="4"/>
  <c r="D12" i="4"/>
  <c r="E12" i="4"/>
  <c r="F12" i="4"/>
  <c r="G12" i="4"/>
  <c r="H12" i="4"/>
  <c r="B13" i="4"/>
  <c r="C13" i="4"/>
  <c r="D13" i="4"/>
  <c r="E13" i="4"/>
  <c r="F13" i="4"/>
  <c r="G13" i="4"/>
  <c r="H13" i="4"/>
  <c r="B14" i="4"/>
  <c r="C14" i="4"/>
  <c r="D14" i="4"/>
  <c r="E14" i="4"/>
  <c r="F14" i="4"/>
  <c r="G14" i="4"/>
  <c r="H14" i="4"/>
  <c r="B15" i="4"/>
  <c r="C15" i="4"/>
  <c r="D15" i="4"/>
  <c r="E15" i="4"/>
  <c r="F15" i="4"/>
  <c r="G15" i="4"/>
  <c r="H15" i="4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B19" i="4"/>
  <c r="C19" i="4"/>
  <c r="D19" i="4"/>
  <c r="E19" i="4"/>
  <c r="F19" i="4"/>
  <c r="G19" i="4"/>
  <c r="H19" i="4"/>
  <c r="B20" i="4"/>
  <c r="C20" i="4"/>
  <c r="D20" i="4"/>
  <c r="E20" i="4"/>
  <c r="F20" i="4"/>
  <c r="G20" i="4"/>
  <c r="H20" i="4"/>
  <c r="B21" i="4"/>
  <c r="C21" i="4"/>
  <c r="D21" i="4"/>
  <c r="E21" i="4"/>
  <c r="F21" i="4"/>
  <c r="G21" i="4"/>
  <c r="H21" i="4"/>
  <c r="B22" i="4"/>
  <c r="C22" i="4"/>
  <c r="D22" i="4"/>
  <c r="E22" i="4"/>
  <c r="F22" i="4"/>
  <c r="G22" i="4"/>
  <c r="H22" i="4"/>
  <c r="B23" i="4"/>
  <c r="C23" i="4"/>
  <c r="D23" i="4"/>
  <c r="E23" i="4"/>
  <c r="F23" i="4"/>
  <c r="G23" i="4"/>
  <c r="H23" i="4"/>
  <c r="B24" i="4"/>
  <c r="C24" i="4"/>
  <c r="D24" i="4"/>
  <c r="E24" i="4"/>
  <c r="F24" i="4"/>
  <c r="G24" i="4"/>
  <c r="H24" i="4"/>
  <c r="B25" i="4"/>
  <c r="C25" i="4"/>
  <c r="D25" i="4"/>
  <c r="E25" i="4"/>
  <c r="F25" i="4"/>
  <c r="G25" i="4"/>
  <c r="H25" i="4"/>
  <c r="B26" i="4"/>
  <c r="C26" i="4"/>
  <c r="D26" i="4"/>
  <c r="E26" i="4"/>
  <c r="F26" i="4"/>
  <c r="G26" i="4"/>
  <c r="H26" i="4"/>
  <c r="B27" i="4"/>
  <c r="C27" i="4"/>
  <c r="D27" i="4"/>
  <c r="E27" i="4"/>
  <c r="F27" i="4"/>
  <c r="G27" i="4"/>
  <c r="H27" i="4"/>
  <c r="B28" i="4"/>
  <c r="C28" i="4"/>
  <c r="D28" i="4"/>
  <c r="E28" i="4"/>
  <c r="F28" i="4"/>
  <c r="G28" i="4"/>
  <c r="H28" i="4"/>
  <c r="B29" i="4"/>
  <c r="C29" i="4"/>
  <c r="D29" i="4"/>
  <c r="E29" i="4"/>
  <c r="F29" i="4"/>
  <c r="G29" i="4"/>
  <c r="H29" i="4"/>
  <c r="B30" i="4"/>
  <c r="C30" i="4"/>
  <c r="D30" i="4"/>
  <c r="E30" i="4"/>
  <c r="F30" i="4"/>
  <c r="G30" i="4"/>
  <c r="H30" i="4"/>
  <c r="B31" i="4"/>
  <c r="C31" i="4"/>
  <c r="D31" i="4"/>
  <c r="E31" i="4"/>
  <c r="F31" i="4"/>
  <c r="G31" i="4"/>
  <c r="H31" i="4"/>
  <c r="B32" i="4"/>
  <c r="C32" i="4"/>
  <c r="D32" i="4"/>
  <c r="E32" i="4"/>
  <c r="F32" i="4"/>
  <c r="G32" i="4"/>
  <c r="H32" i="4"/>
  <c r="B33" i="4"/>
  <c r="C33" i="4"/>
  <c r="D33" i="4"/>
  <c r="E33" i="4"/>
  <c r="F33" i="4"/>
  <c r="G33" i="4"/>
  <c r="H33" i="4"/>
  <c r="B34" i="4"/>
  <c r="C34" i="4"/>
  <c r="D34" i="4"/>
  <c r="E34" i="4"/>
  <c r="F34" i="4"/>
  <c r="G34" i="4"/>
  <c r="H34" i="4"/>
  <c r="B35" i="4"/>
  <c r="C35" i="4"/>
  <c r="D35" i="4"/>
  <c r="E35" i="4"/>
  <c r="F35" i="4"/>
  <c r="G35" i="4"/>
  <c r="H35" i="4"/>
  <c r="B36" i="4"/>
  <c r="C36" i="4"/>
  <c r="D36" i="4"/>
  <c r="E36" i="4"/>
  <c r="F36" i="4"/>
  <c r="G36" i="4"/>
  <c r="H36" i="4"/>
  <c r="B37" i="4"/>
  <c r="C37" i="4"/>
  <c r="D37" i="4"/>
  <c r="E37" i="4"/>
  <c r="F37" i="4"/>
  <c r="G37" i="4"/>
  <c r="H37" i="4"/>
  <c r="B38" i="4"/>
  <c r="C38" i="4"/>
  <c r="D38" i="4"/>
  <c r="E38" i="4"/>
  <c r="F38" i="4"/>
  <c r="G38" i="4"/>
  <c r="H38" i="4"/>
  <c r="B39" i="4"/>
  <c r="C39" i="4"/>
  <c r="D39" i="4"/>
  <c r="E39" i="4"/>
  <c r="F39" i="4"/>
  <c r="G39" i="4"/>
  <c r="H39" i="4"/>
  <c r="B40" i="4"/>
  <c r="C40" i="4"/>
  <c r="D40" i="4"/>
  <c r="E40" i="4"/>
  <c r="F40" i="4"/>
  <c r="G40" i="4"/>
  <c r="H40" i="4"/>
  <c r="B41" i="4"/>
  <c r="C41" i="4"/>
  <c r="D41" i="4"/>
  <c r="E41" i="4"/>
  <c r="F41" i="4"/>
  <c r="G41" i="4"/>
  <c r="H41" i="4"/>
  <c r="B42" i="4"/>
  <c r="C42" i="4"/>
  <c r="D42" i="4"/>
  <c r="E42" i="4"/>
  <c r="F42" i="4"/>
  <c r="G42" i="4"/>
  <c r="H42" i="4"/>
  <c r="B43" i="4"/>
  <c r="C43" i="4"/>
  <c r="D43" i="4"/>
  <c r="E43" i="4"/>
  <c r="F43" i="4"/>
  <c r="G43" i="4"/>
  <c r="H43" i="4"/>
  <c r="B44" i="4"/>
  <c r="C44" i="4"/>
  <c r="D44" i="4"/>
  <c r="E44" i="4"/>
  <c r="F44" i="4"/>
  <c r="G44" i="4"/>
  <c r="H44" i="4"/>
  <c r="B45" i="4"/>
  <c r="C45" i="4"/>
  <c r="D45" i="4"/>
  <c r="E45" i="4"/>
  <c r="F45" i="4"/>
  <c r="G45" i="4"/>
  <c r="H45" i="4"/>
  <c r="B46" i="4"/>
  <c r="C46" i="4"/>
  <c r="D46" i="4"/>
  <c r="E46" i="4"/>
  <c r="F46" i="4"/>
  <c r="G46" i="4"/>
  <c r="H46" i="4"/>
  <c r="B47" i="4"/>
  <c r="C47" i="4"/>
  <c r="D47" i="4"/>
  <c r="E47" i="4"/>
  <c r="F47" i="4"/>
  <c r="G47" i="4"/>
  <c r="H47" i="4"/>
  <c r="B48" i="4"/>
  <c r="C48" i="4"/>
  <c r="D48" i="4"/>
  <c r="E48" i="4"/>
  <c r="F48" i="4"/>
  <c r="G48" i="4"/>
  <c r="H48" i="4"/>
  <c r="B49" i="4"/>
  <c r="C49" i="4"/>
  <c r="D49" i="4"/>
  <c r="E49" i="4"/>
  <c r="F49" i="4"/>
  <c r="G49" i="4"/>
  <c r="H49" i="4"/>
  <c r="B50" i="4"/>
  <c r="C50" i="4"/>
  <c r="D50" i="4"/>
  <c r="E50" i="4"/>
  <c r="F50" i="4"/>
  <c r="G50" i="4"/>
  <c r="H50" i="4"/>
  <c r="B51" i="4"/>
  <c r="C51" i="4"/>
  <c r="D51" i="4"/>
  <c r="E51" i="4"/>
  <c r="F51" i="4"/>
  <c r="G51" i="4"/>
  <c r="H51" i="4"/>
  <c r="B52" i="4"/>
  <c r="C52" i="4"/>
  <c r="D52" i="4"/>
  <c r="E52" i="4"/>
  <c r="F52" i="4"/>
  <c r="G52" i="4"/>
  <c r="H52" i="4"/>
  <c r="B53" i="4"/>
  <c r="C53" i="4"/>
  <c r="D53" i="4"/>
  <c r="E53" i="4"/>
  <c r="F53" i="4"/>
  <c r="G53" i="4"/>
  <c r="H53" i="4"/>
  <c r="B54" i="4"/>
  <c r="C54" i="4"/>
  <c r="D54" i="4"/>
  <c r="E54" i="4"/>
  <c r="F54" i="4"/>
  <c r="G54" i="4"/>
  <c r="H54" i="4"/>
  <c r="B55" i="4"/>
  <c r="C55" i="4"/>
  <c r="D55" i="4"/>
  <c r="E55" i="4"/>
  <c r="F55" i="4"/>
  <c r="G55" i="4"/>
  <c r="H55" i="4"/>
  <c r="B56" i="4"/>
  <c r="C56" i="4"/>
  <c r="D56" i="4"/>
  <c r="E56" i="4"/>
  <c r="F56" i="4"/>
  <c r="G56" i="4"/>
  <c r="H56" i="4"/>
  <c r="B57" i="4"/>
  <c r="C57" i="4"/>
  <c r="D57" i="4"/>
  <c r="E57" i="4"/>
  <c r="F57" i="4"/>
  <c r="G57" i="4"/>
  <c r="H57" i="4"/>
  <c r="B58" i="4"/>
  <c r="C58" i="4"/>
  <c r="D58" i="4"/>
  <c r="E58" i="4"/>
  <c r="F58" i="4"/>
  <c r="G58" i="4"/>
  <c r="H58" i="4"/>
  <c r="B59" i="4"/>
  <c r="C59" i="4"/>
  <c r="D59" i="4"/>
  <c r="E59" i="4"/>
  <c r="F59" i="4"/>
  <c r="G59" i="4"/>
  <c r="H59" i="4"/>
  <c r="B60" i="4"/>
  <c r="C60" i="4"/>
  <c r="D60" i="4"/>
  <c r="E60" i="4"/>
  <c r="F60" i="4"/>
  <c r="G60" i="4"/>
  <c r="H60" i="4"/>
  <c r="B61" i="4"/>
  <c r="C61" i="4"/>
  <c r="D61" i="4"/>
  <c r="E61" i="4"/>
  <c r="F61" i="4"/>
  <c r="G61" i="4"/>
  <c r="H61" i="4"/>
  <c r="H2" i="4"/>
  <c r="G2" i="4"/>
  <c r="F2" i="4"/>
  <c r="E2" i="4"/>
  <c r="D2" i="4"/>
  <c r="C2" i="4"/>
  <c r="B2" i="4"/>
  <c r="J60" i="4"/>
  <c r="K60" i="4"/>
  <c r="L60" i="4"/>
  <c r="M60" i="4"/>
  <c r="N60" i="4"/>
  <c r="J61" i="4"/>
  <c r="K61" i="4"/>
  <c r="L61" i="4"/>
  <c r="M61" i="4"/>
  <c r="N6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2" i="1"/>
  <c r="D5" i="3"/>
  <c r="J3" i="4"/>
  <c r="K3" i="4"/>
  <c r="L3" i="4"/>
  <c r="M3" i="4"/>
  <c r="J4" i="4"/>
  <c r="K4" i="4"/>
  <c r="L4" i="4"/>
  <c r="M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J20" i="4"/>
  <c r="K20" i="4"/>
  <c r="L20" i="4"/>
  <c r="M20" i="4"/>
  <c r="J21" i="4"/>
  <c r="K21" i="4"/>
  <c r="L21" i="4"/>
  <c r="M21" i="4"/>
  <c r="J22" i="4"/>
  <c r="K22" i="4"/>
  <c r="L22" i="4"/>
  <c r="M22" i="4"/>
  <c r="J23" i="4"/>
  <c r="K23" i="4"/>
  <c r="L23" i="4"/>
  <c r="M23" i="4"/>
  <c r="J24" i="4"/>
  <c r="K24" i="4"/>
  <c r="L24" i="4"/>
  <c r="M24" i="4"/>
  <c r="J25" i="4"/>
  <c r="K25" i="4"/>
  <c r="L25" i="4"/>
  <c r="M25" i="4"/>
  <c r="J26" i="4"/>
  <c r="K26" i="4"/>
  <c r="L26" i="4"/>
  <c r="M26" i="4"/>
  <c r="J27" i="4"/>
  <c r="K27" i="4"/>
  <c r="L27" i="4"/>
  <c r="M27" i="4"/>
  <c r="J28" i="4"/>
  <c r="K28" i="4"/>
  <c r="L28" i="4"/>
  <c r="M28" i="4"/>
  <c r="J29" i="4"/>
  <c r="K29" i="4"/>
  <c r="L29" i="4"/>
  <c r="M29" i="4"/>
  <c r="J30" i="4"/>
  <c r="K30" i="4"/>
  <c r="L30" i="4"/>
  <c r="M30" i="4"/>
  <c r="J31" i="4"/>
  <c r="K31" i="4"/>
  <c r="L31" i="4"/>
  <c r="M31" i="4"/>
  <c r="J32" i="4"/>
  <c r="K32" i="4"/>
  <c r="L32" i="4"/>
  <c r="M32" i="4"/>
  <c r="J33" i="4"/>
  <c r="K33" i="4"/>
  <c r="L33" i="4"/>
  <c r="M33" i="4"/>
  <c r="J34" i="4"/>
  <c r="K34" i="4"/>
  <c r="L34" i="4"/>
  <c r="M34" i="4"/>
  <c r="J35" i="4"/>
  <c r="K35" i="4"/>
  <c r="L35" i="4"/>
  <c r="M35" i="4"/>
  <c r="J36" i="4"/>
  <c r="K36" i="4"/>
  <c r="L36" i="4"/>
  <c r="M36" i="4"/>
  <c r="J37" i="4"/>
  <c r="K37" i="4"/>
  <c r="L37" i="4"/>
  <c r="M37" i="4"/>
  <c r="J38" i="4"/>
  <c r="K38" i="4"/>
  <c r="L38" i="4"/>
  <c r="M38" i="4"/>
  <c r="J39" i="4"/>
  <c r="K39" i="4"/>
  <c r="L39" i="4"/>
  <c r="M39" i="4"/>
  <c r="J40" i="4"/>
  <c r="K40" i="4"/>
  <c r="L40" i="4"/>
  <c r="M40" i="4"/>
  <c r="J41" i="4"/>
  <c r="K41" i="4"/>
  <c r="L41" i="4"/>
  <c r="M41" i="4"/>
  <c r="J42" i="4"/>
  <c r="K42" i="4"/>
  <c r="L42" i="4"/>
  <c r="M42" i="4"/>
  <c r="J43" i="4"/>
  <c r="K43" i="4"/>
  <c r="L43" i="4"/>
  <c r="M43" i="4"/>
  <c r="J44" i="4"/>
  <c r="K44" i="4"/>
  <c r="L44" i="4"/>
  <c r="M44" i="4"/>
  <c r="J45" i="4"/>
  <c r="K45" i="4"/>
  <c r="L45" i="4"/>
  <c r="M45" i="4"/>
  <c r="J46" i="4"/>
  <c r="K46" i="4"/>
  <c r="L46" i="4"/>
  <c r="M46" i="4"/>
  <c r="J47" i="4"/>
  <c r="K47" i="4"/>
  <c r="L47" i="4"/>
  <c r="M47" i="4"/>
  <c r="J48" i="4"/>
  <c r="K48" i="4"/>
  <c r="L48" i="4"/>
  <c r="M48" i="4"/>
  <c r="J49" i="4"/>
  <c r="K49" i="4"/>
  <c r="L49" i="4"/>
  <c r="M49" i="4"/>
  <c r="J50" i="4"/>
  <c r="K50" i="4"/>
  <c r="L50" i="4"/>
  <c r="M50" i="4"/>
  <c r="J51" i="4"/>
  <c r="K51" i="4"/>
  <c r="L51" i="4"/>
  <c r="M51" i="4"/>
  <c r="J52" i="4"/>
  <c r="K52" i="4"/>
  <c r="L52" i="4"/>
  <c r="M52" i="4"/>
  <c r="J53" i="4"/>
  <c r="K53" i="4"/>
  <c r="L53" i="4"/>
  <c r="M53" i="4"/>
  <c r="J54" i="4"/>
  <c r="K54" i="4"/>
  <c r="L54" i="4"/>
  <c r="M54" i="4"/>
  <c r="J55" i="4"/>
  <c r="K55" i="4"/>
  <c r="L55" i="4"/>
  <c r="M55" i="4"/>
  <c r="J56" i="4"/>
  <c r="K56" i="4"/>
  <c r="L56" i="4"/>
  <c r="M56" i="4"/>
  <c r="J57" i="4"/>
  <c r="K57" i="4"/>
  <c r="L57" i="4"/>
  <c r="M57" i="4"/>
  <c r="J58" i="4"/>
  <c r="K58" i="4"/>
  <c r="L58" i="4"/>
  <c r="M58" i="4"/>
  <c r="J59" i="4"/>
  <c r="K59" i="4"/>
  <c r="L59" i="4"/>
  <c r="M59" i="4"/>
  <c r="N2" i="4"/>
  <c r="M2" i="4"/>
  <c r="L2" i="4"/>
  <c r="K2" i="4"/>
  <c r="J2" i="4"/>
  <c r="A2" i="4"/>
  <c r="N49" i="4"/>
  <c r="N50" i="4"/>
  <c r="N51" i="4"/>
  <c r="N52" i="4"/>
  <c r="N53" i="4"/>
  <c r="N54" i="4"/>
  <c r="N55" i="4"/>
  <c r="N56" i="4"/>
  <c r="N57" i="4"/>
  <c r="N58" i="4"/>
  <c r="N59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D4" i="3"/>
  <c r="D3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2" i="2"/>
  <c r="D2" i="3"/>
  <c r="I52" i="4" l="1"/>
  <c r="I60" i="4"/>
  <c r="I7" i="4"/>
  <c r="I61" i="4"/>
  <c r="I31" i="4"/>
  <c r="I3" i="4"/>
  <c r="I27" i="4"/>
  <c r="I12" i="4"/>
  <c r="I14" i="4"/>
  <c r="I28" i="4"/>
  <c r="I59" i="4"/>
  <c r="I48" i="4"/>
  <c r="I30" i="4"/>
  <c r="I24" i="4"/>
  <c r="I20" i="4"/>
  <c r="I39" i="4"/>
  <c r="I16" i="4"/>
  <c r="I10" i="4"/>
  <c r="I8" i="4"/>
  <c r="I55" i="4"/>
  <c r="I45" i="4"/>
  <c r="I41" i="4"/>
  <c r="I23" i="4"/>
  <c r="I21" i="4"/>
  <c r="I17" i="4"/>
  <c r="I32" i="4"/>
  <c r="I13" i="4"/>
  <c r="I38" i="4"/>
  <c r="I34" i="4"/>
  <c r="I11" i="4"/>
  <c r="I51" i="4"/>
  <c r="I49" i="4"/>
  <c r="I26" i="4"/>
  <c r="I47" i="4"/>
  <c r="I22" i="4"/>
  <c r="I43" i="4"/>
  <c r="I2" i="4"/>
  <c r="I25" i="4"/>
  <c r="I46" i="4"/>
  <c r="I37" i="4"/>
  <c r="I35" i="4"/>
  <c r="I58" i="4"/>
  <c r="I56" i="4"/>
  <c r="I33" i="4"/>
  <c r="I54" i="4"/>
  <c r="I29" i="4"/>
  <c r="I50" i="4"/>
  <c r="I19" i="4"/>
  <c r="I9" i="4"/>
  <c r="I6" i="4"/>
  <c r="I53" i="4"/>
  <c r="I44" i="4"/>
  <c r="I42" i="4"/>
  <c r="I4" i="4"/>
  <c r="I40" i="4"/>
  <c r="I36" i="4"/>
  <c r="I15" i="4"/>
  <c r="I57" i="4"/>
  <c r="I18" i="4"/>
</calcChain>
</file>

<file path=xl/sharedStrings.xml><?xml version="1.0" encoding="utf-8"?>
<sst xmlns="http://schemas.openxmlformats.org/spreadsheetml/2006/main" count="761" uniqueCount="131">
  <si>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</si>
  <si>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</si>
  <si>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</si>
  <si>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</si>
  <si>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</si>
  <si>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</si>
  <si>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</si>
  <si>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</si>
  <si>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</si>
  <si>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</si>
  <si>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</si>
  <si>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</si>
  <si>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</si>
  <si>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</si>
  <si>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01:00 - 12:00</t>
  </si>
  <si>
    <t>OFF</t>
  </si>
  <si>
    <t>Wed - Thu - Fri</t>
  </si>
  <si>
    <t>Remmo Panaligan</t>
  </si>
  <si>
    <t>13:00 - 00:00</t>
  </si>
  <si>
    <t>Thu - Fri - Sat</t>
  </si>
  <si>
    <t>08:00 - 19:00</t>
  </si>
  <si>
    <t>Thur - Sat - Sun</t>
  </si>
  <si>
    <t>Manilyn Abellar</t>
  </si>
  <si>
    <t>07:30 - 18:30</t>
  </si>
  <si>
    <t>Fri - Sat - Sun</t>
  </si>
  <si>
    <t>20:00 - 07:00</t>
  </si>
  <si>
    <t>Mon - Tue - Wed</t>
  </si>
  <si>
    <t>Michael Dominguez</t>
  </si>
  <si>
    <t>09:00 - 20:00</t>
  </si>
  <si>
    <t>Sun - Mon - Tue</t>
  </si>
  <si>
    <t>Anmecha Valencia</t>
  </si>
  <si>
    <t>Tue - Wed - Thu</t>
  </si>
  <si>
    <t>Christopher Rodas</t>
  </si>
  <si>
    <t>Tue - Sat - Sun</t>
  </si>
  <si>
    <t>03:00 - 14:00</t>
  </si>
  <si>
    <t>Wed - Sat - Sun</t>
  </si>
  <si>
    <t>Sat - Sun - Mon</t>
  </si>
  <si>
    <t>04:00 - 15:00</t>
  </si>
  <si>
    <t>11:00 - 22:00</t>
  </si>
  <si>
    <t>10:30 - 21:30</t>
  </si>
  <si>
    <t>18:00 - 05:00</t>
  </si>
  <si>
    <t>Wed - Thur - Sat</t>
  </si>
  <si>
    <t>06:00 - 17:00</t>
  </si>
  <si>
    <t>05:00 - 16:00</t>
  </si>
  <si>
    <t>10:00 - 21:00</t>
  </si>
  <si>
    <t>02:00 - 13:00</t>
  </si>
  <si>
    <t>17:00 - 04:00</t>
  </si>
  <si>
    <t>12:00 - 23:00</t>
  </si>
  <si>
    <t>21:00 - 08:00</t>
  </si>
  <si>
    <t>Wed-Thur-Fri</t>
  </si>
  <si>
    <t>21:00 - 8:00</t>
  </si>
  <si>
    <t>Tue - Wed - Sat</t>
  </si>
  <si>
    <t>22:30 - 09:30</t>
  </si>
  <si>
    <t>Thur - Fri - Sun</t>
  </si>
  <si>
    <t>18:30 - 05:30</t>
  </si>
  <si>
    <t>Sun- Mon - Tue</t>
  </si>
  <si>
    <t>22:00 - 09:00</t>
  </si>
  <si>
    <t>Mon-Tue-Wed</t>
  </si>
  <si>
    <t>00:00-11:00</t>
  </si>
  <si>
    <t>Chris Borromeo</t>
  </si>
  <si>
    <t>23:00 - 10:00</t>
  </si>
  <si>
    <t>Mon-Tue-Fri</t>
  </si>
  <si>
    <t>07:00 - 18:00</t>
  </si>
  <si>
    <t>AIREEN BALANON</t>
  </si>
  <si>
    <t>ALEC CHRISTIAN PALABAY</t>
  </si>
  <si>
    <t>ANDREI MARK LLENOS</t>
  </si>
  <si>
    <t>ANTONIO AGDA</t>
  </si>
  <si>
    <t>AYSHA SAGIRA MACALANDONG</t>
  </si>
  <si>
    <t>AZILEAN KHRISTA ALMAZAN</t>
  </si>
  <si>
    <t>BENEDICT ERMITANO</t>
  </si>
  <si>
    <t>CARLOS JR. KIAMCO</t>
  </si>
  <si>
    <t>CHARISSE CAPUNO</t>
  </si>
  <si>
    <t>CHRIS PAUL DALUT</t>
  </si>
  <si>
    <t>CHRISTIAN LAJERA</t>
  </si>
  <si>
    <t>CYNTHIA ANOSA</t>
  </si>
  <si>
    <t>DAIRENN ANGEL ADARNE</t>
  </si>
  <si>
    <t>DHARLYN GREJ ESTILLORE</t>
  </si>
  <si>
    <t>EDUARDO JACINTO</t>
  </si>
  <si>
    <t>ELIJAH JEREMY RACCA</t>
  </si>
  <si>
    <t>SAM SUPNET</t>
  </si>
  <si>
    <t>ELJOHN MAR CABALIDA</t>
  </si>
  <si>
    <t>FRANCIS BAJAO</t>
  </si>
  <si>
    <t>GISELLE FLORENDO</t>
  </si>
  <si>
    <t>JACKYLEEN CABALLERO</t>
  </si>
  <si>
    <t>JAMES KIM MALATAG</t>
  </si>
  <si>
    <t>JAMES MATTHEW SANTOS</t>
  </si>
  <si>
    <t>JAYSON PESCADERO</t>
  </si>
  <si>
    <t>JEFFRYL JOE PADRILLO</t>
  </si>
  <si>
    <t>JESSE OWEN RAMA</t>
  </si>
  <si>
    <t>JEYCEL ROXAS</t>
  </si>
  <si>
    <t>JHANELLE DIDATO</t>
  </si>
  <si>
    <t>JHONREY JOTOJOT</t>
  </si>
  <si>
    <t>JIELEEN VILLEGAS</t>
  </si>
  <si>
    <t>JOEMIE ANN BENEDICTO</t>
  </si>
  <si>
    <t>JOSEPH BRIAN NAGOR</t>
  </si>
  <si>
    <t>JOSEPHRAIM LAMOSTE</t>
  </si>
  <si>
    <t>JOSHUA BAGAPORO</t>
  </si>
  <si>
    <t>JOSHUA MENDOZA</t>
  </si>
  <si>
    <t>JUVY LABONG</t>
  </si>
  <si>
    <t>KATHLEEN MELECIO</t>
  </si>
  <si>
    <t>KENNETH ORIBELLO</t>
  </si>
  <si>
    <t>KIRBY SANTOS</t>
  </si>
  <si>
    <t>LANZ JASON MEDALLO</t>
  </si>
  <si>
    <t>LEE JOSEPH AGBANLOG</t>
  </si>
  <si>
    <t>LOVELYN NICOLE MAGCUYAO</t>
  </si>
  <si>
    <t>MANUELETH NARDO</t>
  </si>
  <si>
    <t>MARIELLE DAKILA</t>
  </si>
  <si>
    <t>MARJON GAEBRIELLE ALBAY</t>
  </si>
  <si>
    <t>MARK RAYMOND MANGASER</t>
  </si>
  <si>
    <t>MARY ANGELINE FAJARDO</t>
  </si>
  <si>
    <t>MARY JOY DELOS SANTOS</t>
  </si>
  <si>
    <t>MHAR ANTHONY JUEZAN</t>
  </si>
  <si>
    <t>MICHELLE CORBETA</t>
  </si>
  <si>
    <t>PATRICIA GILAN VILLAS</t>
  </si>
  <si>
    <t>RAQUELA NICOLE LARETA</t>
  </si>
  <si>
    <t>RAYNIEL MARK INGAL</t>
  </si>
  <si>
    <t>REY FERNANDEZ</t>
  </si>
  <si>
    <t>RONA ROTCHEL MONIVA</t>
  </si>
  <si>
    <t>ROY SAGALES</t>
  </si>
  <si>
    <t>SAMANTHA YVONNE DELA COSTA</t>
  </si>
  <si>
    <t>SHIELA MAE LAROA</t>
  </si>
  <si>
    <t>WILLIAM NAVA</t>
  </si>
  <si>
    <t>Date</t>
  </si>
  <si>
    <t>Reason</t>
  </si>
  <si>
    <t>Called Off</t>
  </si>
  <si>
    <t>PTO</t>
  </si>
  <si>
    <t>CLEENDY CERILLA</t>
  </si>
  <si>
    <t>Running Late (No ETA)</t>
  </si>
  <si>
    <t>Running Late (ETA : 17:00)</t>
  </si>
  <si>
    <t>Left Early</t>
  </si>
  <si>
    <t>EST SCHED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</si>
</sst>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rgb="FFF5F5F5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6" fillId="5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4" xfId="0" applyFont="1" applyBorder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0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0" xfId="0" applyFill="1"/>
    <xf numFmtId="20" fontId="0" fillId="6" borderId="1" xfId="0" applyNumberFormat="1" applyFill="1" applyBorder="1" applyAlignment="1">
      <alignment horizontal="center"/>
    </xf>
    <xf numFmtId="20" fontId="0" fillId="0" borderId="0" xfId="0" applyNumberFormat="1"/>
    <xf numFmtId="0" fontId="5" fillId="4" borderId="6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P61"/>
  <sheetViews>
    <sheetView zoomScaleNormal="100" workbookViewId="0">
      <selection activeCell="J2" sqref="J2"/>
    </sheetView>
  </sheetViews>
  <sheetFormatPr defaultRowHeight="14.4" x14ac:dyDescent="0.3"/>
  <cols>
    <col min="1" max="1" width="31" customWidth="1"/>
    <col min="2" max="2" width="11.44140625" customWidth="1"/>
    <col min="3" max="8" width="11.44140625" bestFit="1" customWidth="1"/>
    <col min="9" max="9" width="13.6640625" bestFit="1" customWidth="1"/>
    <col min="10" max="11" width="7.109375" bestFit="1" customWidth="1"/>
    <col min="12" max="12" width="5.88671875" bestFit="1" customWidth="1"/>
    <col min="13" max="13" width="7.109375" bestFit="1" customWidth="1"/>
    <col min="14" max="14" width="17.33203125" bestFit="1" customWidth="1"/>
    <col min="15" max="15" width="11.6640625" bestFit="1" customWidth="1"/>
    <col min="16" max="16" width="7.109375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39" t="s">
        <v>130</v>
      </c>
    </row>
    <row r="2" spans="1:16" x14ac:dyDescent="0.3">
      <c r="A2" s="16" t="s">
        <v>63</v>
      </c>
      <c r="B2" s="17" t="s">
        <v>14</v>
      </c>
      <c r="C2" s="17" t="s">
        <v>14</v>
      </c>
      <c r="D2" s="17" t="s">
        <v>15</v>
      </c>
      <c r="E2" s="17" t="s">
        <v>15</v>
      </c>
      <c r="F2" s="17" t="s">
        <v>15</v>
      </c>
      <c r="G2" s="17" t="s">
        <v>14</v>
      </c>
      <c r="H2" s="17" t="s">
        <v>14</v>
      </c>
      <c r="I2" s="18" t="s">
        <v>16</v>
      </c>
      <c r="J2" s="19">
        <v>0.125</v>
      </c>
      <c r="K2" s="19">
        <v>0.35416666666666669</v>
      </c>
      <c r="L2" s="19">
        <v>0.26041666666666669</v>
      </c>
      <c r="M2" s="19">
        <v>0.44791666666666669</v>
      </c>
      <c r="N2" s="20" t="s">
        <v>17</v>
      </c>
      <c r="O2" t="s">
        <v>25</v>
      </c>
      <c r="P2">
        <f>IF(O2="OFF",0,
IF(VALUE(LEFT(O2,2))&lt;12,0,1))</f>
        <v>1</v>
      </c>
    </row>
    <row r="3" spans="1:16" x14ac:dyDescent="0.3">
      <c r="A3" s="10" t="s">
        <v>64</v>
      </c>
      <c r="B3" s="1" t="s">
        <v>18</v>
      </c>
      <c r="C3" s="1" t="s">
        <v>18</v>
      </c>
      <c r="D3" s="1" t="s">
        <v>18</v>
      </c>
      <c r="E3" s="1" t="s">
        <v>15</v>
      </c>
      <c r="F3" s="1" t="s">
        <v>15</v>
      </c>
      <c r="G3" s="1" t="s">
        <v>15</v>
      </c>
      <c r="H3" s="1" t="s">
        <v>18</v>
      </c>
      <c r="I3" s="2" t="s">
        <v>19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17</v>
      </c>
      <c r="O3" t="s">
        <v>28</v>
      </c>
      <c r="P3">
        <f t="shared" ref="P3:P61" si="0">IF(O3="OFF",0,
IF(VALUE(LEFT(O3,2))&lt;12,0,1))</f>
        <v>0</v>
      </c>
    </row>
    <row r="4" spans="1:16" x14ac:dyDescent="0.3">
      <c r="A4" s="16" t="s">
        <v>65</v>
      </c>
      <c r="B4" s="17" t="s">
        <v>20</v>
      </c>
      <c r="C4" s="17" t="s">
        <v>20</v>
      </c>
      <c r="D4" s="17" t="s">
        <v>20</v>
      </c>
      <c r="E4" s="17" t="s">
        <v>15</v>
      </c>
      <c r="F4" s="17" t="s">
        <v>20</v>
      </c>
      <c r="G4" s="17" t="s">
        <v>15</v>
      </c>
      <c r="H4" s="17" t="s">
        <v>15</v>
      </c>
      <c r="I4" s="18" t="s">
        <v>21</v>
      </c>
      <c r="J4" s="21">
        <v>0.39583333333333331</v>
      </c>
      <c r="K4" s="21">
        <v>0.60416666666666663</v>
      </c>
      <c r="L4" s="21">
        <v>0.47916666666666669</v>
      </c>
      <c r="M4" s="21">
        <v>0.73958333333333337</v>
      </c>
      <c r="N4" s="22" t="s">
        <v>22</v>
      </c>
      <c r="O4" t="s">
        <v>37</v>
      </c>
      <c r="P4">
        <f t="shared" si="0"/>
        <v>0</v>
      </c>
    </row>
    <row r="5" spans="1:16" x14ac:dyDescent="0.3">
      <c r="A5" s="11" t="s">
        <v>66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15</v>
      </c>
      <c r="G5" s="5" t="s">
        <v>15</v>
      </c>
      <c r="H5" s="5" t="s">
        <v>15</v>
      </c>
      <c r="I5" s="6" t="s">
        <v>24</v>
      </c>
      <c r="J5" s="7">
        <v>0.38541666666666669</v>
      </c>
      <c r="K5" s="7">
        <v>0.61458333333333337</v>
      </c>
      <c r="L5" s="7">
        <v>0.46875</v>
      </c>
      <c r="M5" s="7">
        <v>0.71875</v>
      </c>
      <c r="N5" s="8" t="s">
        <v>22</v>
      </c>
      <c r="O5" t="s">
        <v>47</v>
      </c>
      <c r="P5">
        <f t="shared" si="0"/>
        <v>1</v>
      </c>
    </row>
    <row r="6" spans="1:16" x14ac:dyDescent="0.3">
      <c r="A6" s="16" t="s">
        <v>67</v>
      </c>
      <c r="B6" s="17" t="s">
        <v>15</v>
      </c>
      <c r="C6" s="17" t="s">
        <v>15</v>
      </c>
      <c r="D6" s="17" t="s">
        <v>15</v>
      </c>
      <c r="E6" s="23" t="s">
        <v>25</v>
      </c>
      <c r="F6" s="23" t="s">
        <v>25</v>
      </c>
      <c r="G6" s="23" t="s">
        <v>25</v>
      </c>
      <c r="H6" s="23" t="s">
        <v>25</v>
      </c>
      <c r="I6" s="18" t="s">
        <v>26</v>
      </c>
      <c r="J6" s="21">
        <v>0.92708333333333337</v>
      </c>
      <c r="K6" s="21">
        <v>1.0416666666666666E-2</v>
      </c>
      <c r="L6" s="21">
        <v>0.1875</v>
      </c>
      <c r="M6" s="21">
        <v>0.10416666666666667</v>
      </c>
      <c r="N6" s="22" t="s">
        <v>27</v>
      </c>
      <c r="O6" t="s">
        <v>43</v>
      </c>
      <c r="P6">
        <f t="shared" si="0"/>
        <v>0</v>
      </c>
    </row>
    <row r="7" spans="1:16" s="36" customFormat="1" x14ac:dyDescent="0.3">
      <c r="A7" s="31" t="s">
        <v>68</v>
      </c>
      <c r="B7" s="32" t="s">
        <v>28</v>
      </c>
      <c r="C7" s="32" t="s">
        <v>28</v>
      </c>
      <c r="D7" s="32" t="s">
        <v>15</v>
      </c>
      <c r="E7" s="32" t="s">
        <v>15</v>
      </c>
      <c r="F7" s="32" t="s">
        <v>28</v>
      </c>
      <c r="G7" s="32" t="s">
        <v>28</v>
      </c>
      <c r="H7" s="32" t="s">
        <v>15</v>
      </c>
      <c r="I7" s="33" t="s">
        <v>29</v>
      </c>
      <c r="J7" s="34">
        <v>0.45833333333333331</v>
      </c>
      <c r="K7" s="34">
        <v>0.55208333333333337</v>
      </c>
      <c r="L7" s="34">
        <v>0.6875</v>
      </c>
      <c r="M7" s="34">
        <v>0.78125</v>
      </c>
      <c r="N7" s="35" t="s">
        <v>30</v>
      </c>
      <c r="O7" s="36" t="s">
        <v>42</v>
      </c>
      <c r="P7">
        <f t="shared" si="0"/>
        <v>0</v>
      </c>
    </row>
    <row r="8" spans="1:16" x14ac:dyDescent="0.3">
      <c r="A8" s="16" t="s">
        <v>69</v>
      </c>
      <c r="B8" s="17" t="s">
        <v>28</v>
      </c>
      <c r="C8" s="17" t="s">
        <v>28</v>
      </c>
      <c r="D8" s="17" t="s">
        <v>28</v>
      </c>
      <c r="E8" s="17" t="s">
        <v>15</v>
      </c>
      <c r="F8" s="17" t="s">
        <v>28</v>
      </c>
      <c r="G8" s="17" t="s">
        <v>15</v>
      </c>
      <c r="H8" s="17" t="s">
        <v>15</v>
      </c>
      <c r="I8" s="18" t="s">
        <v>21</v>
      </c>
      <c r="J8" s="21">
        <v>0.47916666666666669</v>
      </c>
      <c r="K8" s="21">
        <v>0.625</v>
      </c>
      <c r="L8" s="21">
        <v>0.55208333333333337</v>
      </c>
      <c r="M8" s="21">
        <v>0.77083333333333337</v>
      </c>
      <c r="N8" s="22" t="s">
        <v>27</v>
      </c>
      <c r="O8" t="s">
        <v>46</v>
      </c>
      <c r="P8">
        <f t="shared" si="0"/>
        <v>1</v>
      </c>
    </row>
    <row r="9" spans="1:16" x14ac:dyDescent="0.3">
      <c r="A9" s="10" t="s">
        <v>70</v>
      </c>
      <c r="B9" s="1" t="s">
        <v>28</v>
      </c>
      <c r="C9" s="1" t="s">
        <v>15</v>
      </c>
      <c r="D9" s="1" t="s">
        <v>15</v>
      </c>
      <c r="E9" s="1" t="s">
        <v>15</v>
      </c>
      <c r="F9" s="1" t="s">
        <v>28</v>
      </c>
      <c r="G9" s="1" t="s">
        <v>28</v>
      </c>
      <c r="H9" s="1" t="s">
        <v>28</v>
      </c>
      <c r="I9" s="2" t="s">
        <v>31</v>
      </c>
      <c r="J9" s="3">
        <v>0.58333333333333337</v>
      </c>
      <c r="K9" s="3">
        <v>0.67708333333333337</v>
      </c>
      <c r="L9" s="3">
        <v>0.45833333333333331</v>
      </c>
      <c r="M9" s="3">
        <v>0.77083333333333337</v>
      </c>
      <c r="N9" s="4" t="s">
        <v>32</v>
      </c>
      <c r="O9" t="s">
        <v>54</v>
      </c>
      <c r="P9">
        <f t="shared" si="0"/>
        <v>1</v>
      </c>
    </row>
    <row r="10" spans="1:16" x14ac:dyDescent="0.3">
      <c r="A10" s="11" t="s">
        <v>71</v>
      </c>
      <c r="B10" s="5" t="s">
        <v>28</v>
      </c>
      <c r="C10" s="5" t="s">
        <v>15</v>
      </c>
      <c r="D10" s="5" t="s">
        <v>28</v>
      </c>
      <c r="E10" s="5" t="s">
        <v>28</v>
      </c>
      <c r="F10" s="5" t="s">
        <v>28</v>
      </c>
      <c r="G10" s="5" t="s">
        <v>15</v>
      </c>
      <c r="H10" s="5" t="s">
        <v>15</v>
      </c>
      <c r="I10" s="6" t="s">
        <v>33</v>
      </c>
      <c r="J10" s="7">
        <v>0.46875</v>
      </c>
      <c r="K10" s="7">
        <v>0.5625</v>
      </c>
      <c r="L10" s="7">
        <v>0.75</v>
      </c>
      <c r="M10" s="7">
        <v>0.65625</v>
      </c>
      <c r="N10" s="8" t="s">
        <v>30</v>
      </c>
      <c r="O10" t="s">
        <v>28</v>
      </c>
      <c r="P10">
        <f t="shared" si="0"/>
        <v>0</v>
      </c>
    </row>
    <row r="11" spans="1:16" x14ac:dyDescent="0.3">
      <c r="A11" s="10" t="s">
        <v>72</v>
      </c>
      <c r="B11" s="1" t="s">
        <v>34</v>
      </c>
      <c r="C11" s="1" t="s">
        <v>34</v>
      </c>
      <c r="D11" s="1" t="s">
        <v>15</v>
      </c>
      <c r="E11" s="1" t="s">
        <v>34</v>
      </c>
      <c r="F11" s="1" t="s">
        <v>34</v>
      </c>
      <c r="G11" s="1" t="s">
        <v>15</v>
      </c>
      <c r="H11" s="1" t="s">
        <v>15</v>
      </c>
      <c r="I11" s="2" t="s">
        <v>35</v>
      </c>
      <c r="J11" s="3">
        <v>0.19791666666666666</v>
      </c>
      <c r="K11" s="3">
        <v>0.4375</v>
      </c>
      <c r="L11" s="3">
        <v>0.3125</v>
      </c>
      <c r="M11" s="3">
        <v>0.54166666666666663</v>
      </c>
      <c r="N11" s="4" t="s">
        <v>30</v>
      </c>
      <c r="O11" t="s">
        <v>25</v>
      </c>
      <c r="P11">
        <f t="shared" si="0"/>
        <v>1</v>
      </c>
    </row>
    <row r="12" spans="1:16" x14ac:dyDescent="0.3">
      <c r="A12" s="16" t="s">
        <v>73</v>
      </c>
      <c r="B12" s="17" t="s">
        <v>15</v>
      </c>
      <c r="C12" s="17" t="s">
        <v>28</v>
      </c>
      <c r="D12" s="17" t="s">
        <v>28</v>
      </c>
      <c r="E12" s="17" t="s">
        <v>28</v>
      </c>
      <c r="F12" s="17" t="s">
        <v>28</v>
      </c>
      <c r="G12" s="17" t="s">
        <v>15</v>
      </c>
      <c r="H12" s="17" t="s">
        <v>15</v>
      </c>
      <c r="I12" s="18" t="s">
        <v>36</v>
      </c>
      <c r="J12" s="21">
        <v>0.45833333333333331</v>
      </c>
      <c r="K12" s="21">
        <v>0.54166666666666663</v>
      </c>
      <c r="L12" s="21">
        <v>0.64583333333333337</v>
      </c>
      <c r="M12" s="21">
        <v>0.76041666666666663</v>
      </c>
      <c r="N12" s="22" t="s">
        <v>27</v>
      </c>
      <c r="O12" t="s">
        <v>44</v>
      </c>
      <c r="P12">
        <f t="shared" si="0"/>
        <v>0</v>
      </c>
    </row>
    <row r="13" spans="1:16" x14ac:dyDescent="0.3">
      <c r="A13" s="10" t="s">
        <v>126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15</v>
      </c>
      <c r="G13" s="1" t="s">
        <v>15</v>
      </c>
      <c r="H13" s="1" t="s">
        <v>15</v>
      </c>
      <c r="I13" s="2" t="s">
        <v>24</v>
      </c>
      <c r="J13" s="3">
        <v>0.39583333333333331</v>
      </c>
      <c r="K13" s="3">
        <v>0.60416666666666663</v>
      </c>
      <c r="L13" s="3">
        <v>0.47916666666666669</v>
      </c>
      <c r="M13" s="3">
        <v>0.72916666666666663</v>
      </c>
      <c r="N13" s="4" t="s">
        <v>32</v>
      </c>
      <c r="O13" t="s">
        <v>60</v>
      </c>
      <c r="P13">
        <f t="shared" si="0"/>
        <v>1</v>
      </c>
    </row>
    <row r="14" spans="1:16" x14ac:dyDescent="0.3">
      <c r="A14" s="10" t="s">
        <v>74</v>
      </c>
      <c r="B14" s="1" t="s">
        <v>15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15</v>
      </c>
      <c r="H14" s="1" t="s">
        <v>15</v>
      </c>
      <c r="I14" s="2" t="s">
        <v>24</v>
      </c>
      <c r="J14" s="3">
        <v>0.23958333333333334</v>
      </c>
      <c r="K14" s="3">
        <v>0.52083333333333337</v>
      </c>
      <c r="L14" s="3">
        <v>0.35416666666666669</v>
      </c>
      <c r="M14" s="3">
        <v>0.58333333333333337</v>
      </c>
      <c r="N14" s="4" t="s">
        <v>22</v>
      </c>
      <c r="O14" t="s">
        <v>28</v>
      </c>
      <c r="P14">
        <f t="shared" si="0"/>
        <v>0</v>
      </c>
    </row>
    <row r="15" spans="1:16" x14ac:dyDescent="0.3">
      <c r="A15" s="16" t="s">
        <v>75</v>
      </c>
      <c r="B15" s="17" t="s">
        <v>20</v>
      </c>
      <c r="C15" s="17" t="s">
        <v>15</v>
      </c>
      <c r="D15" s="17" t="s">
        <v>15</v>
      </c>
      <c r="E15" s="17" t="s">
        <v>15</v>
      </c>
      <c r="F15" s="17" t="s">
        <v>20</v>
      </c>
      <c r="G15" s="17" t="s">
        <v>20</v>
      </c>
      <c r="H15" s="17" t="s">
        <v>20</v>
      </c>
      <c r="I15" s="18" t="s">
        <v>31</v>
      </c>
      <c r="J15" s="21">
        <v>0.4375</v>
      </c>
      <c r="K15" s="21">
        <v>0.64583333333333337</v>
      </c>
      <c r="L15" s="21">
        <v>0.52083333333333337</v>
      </c>
      <c r="M15" s="21">
        <v>0.75</v>
      </c>
      <c r="N15" s="22" t="s">
        <v>22</v>
      </c>
      <c r="O15" t="s">
        <v>52</v>
      </c>
      <c r="P15">
        <f t="shared" si="0"/>
        <v>1</v>
      </c>
    </row>
    <row r="16" spans="1:16" x14ac:dyDescent="0.3">
      <c r="A16" s="11" t="s">
        <v>76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15</v>
      </c>
      <c r="G16" s="5" t="s">
        <v>15</v>
      </c>
      <c r="H16" s="5" t="s">
        <v>15</v>
      </c>
      <c r="I16" s="6" t="s">
        <v>24</v>
      </c>
      <c r="J16" s="7">
        <v>0.54166666666666663</v>
      </c>
      <c r="K16" s="7">
        <v>0.63541666666666663</v>
      </c>
      <c r="L16" s="7">
        <v>0.72916666666666663</v>
      </c>
      <c r="M16" s="7">
        <v>0.85416666666666663</v>
      </c>
      <c r="N16" s="8" t="s">
        <v>30</v>
      </c>
      <c r="O16" t="s">
        <v>56</v>
      </c>
      <c r="P16">
        <f t="shared" si="0"/>
        <v>1</v>
      </c>
    </row>
    <row r="17" spans="1:16" x14ac:dyDescent="0.3">
      <c r="A17" s="11" t="s">
        <v>77</v>
      </c>
      <c r="B17" s="5" t="s">
        <v>28</v>
      </c>
      <c r="C17" s="5" t="s">
        <v>28</v>
      </c>
      <c r="D17" s="5" t="s">
        <v>28</v>
      </c>
      <c r="E17" s="5" t="s">
        <v>15</v>
      </c>
      <c r="F17" s="5" t="s">
        <v>28</v>
      </c>
      <c r="G17" s="5" t="s">
        <v>15</v>
      </c>
      <c r="H17" s="5" t="s">
        <v>15</v>
      </c>
      <c r="I17" s="6" t="s">
        <v>21</v>
      </c>
      <c r="J17" s="7">
        <v>0.45833333333333331</v>
      </c>
      <c r="K17" s="7">
        <v>0.57291666666666663</v>
      </c>
      <c r="L17" s="7">
        <v>0.64583333333333337</v>
      </c>
      <c r="M17" s="7">
        <v>0.77083333333333337</v>
      </c>
      <c r="N17" s="8" t="s">
        <v>30</v>
      </c>
      <c r="O17" t="s">
        <v>56</v>
      </c>
      <c r="P17">
        <f t="shared" si="0"/>
        <v>1</v>
      </c>
    </row>
    <row r="18" spans="1:16" x14ac:dyDescent="0.3">
      <c r="A18" s="11" t="s">
        <v>78</v>
      </c>
      <c r="B18" s="5" t="s">
        <v>28</v>
      </c>
      <c r="C18" s="5" t="s">
        <v>28</v>
      </c>
      <c r="D18" s="5" t="s">
        <v>15</v>
      </c>
      <c r="E18" s="5" t="s">
        <v>28</v>
      </c>
      <c r="F18" s="5" t="s">
        <v>28</v>
      </c>
      <c r="G18" s="5" t="s">
        <v>15</v>
      </c>
      <c r="H18" s="5" t="s">
        <v>15</v>
      </c>
      <c r="I18" s="6" t="s">
        <v>35</v>
      </c>
      <c r="J18" s="7">
        <v>0.48958333333333331</v>
      </c>
      <c r="K18" s="7">
        <v>0.57291666666666663</v>
      </c>
      <c r="L18" s="7">
        <v>0.66666666666666663</v>
      </c>
      <c r="M18" s="7">
        <v>0.75</v>
      </c>
      <c r="N18" s="8" t="s">
        <v>30</v>
      </c>
      <c r="O18" t="s">
        <v>50</v>
      </c>
      <c r="P18">
        <f t="shared" si="0"/>
        <v>1</v>
      </c>
    </row>
    <row r="19" spans="1:16" x14ac:dyDescent="0.3">
      <c r="A19" s="11" t="s">
        <v>80</v>
      </c>
      <c r="B19" s="5" t="s">
        <v>20</v>
      </c>
      <c r="C19" s="5" t="s">
        <v>20</v>
      </c>
      <c r="D19" s="5" t="s">
        <v>15</v>
      </c>
      <c r="E19" s="5" t="s">
        <v>20</v>
      </c>
      <c r="F19" s="5" t="s">
        <v>20</v>
      </c>
      <c r="G19" s="5" t="s">
        <v>15</v>
      </c>
      <c r="H19" s="5" t="s">
        <v>15</v>
      </c>
      <c r="I19" s="6" t="s">
        <v>35</v>
      </c>
      <c r="J19" s="7">
        <v>0.4375</v>
      </c>
      <c r="K19" s="7">
        <v>0.65625</v>
      </c>
      <c r="L19" s="7">
        <v>0.53125</v>
      </c>
      <c r="M19" s="7">
        <v>0.75</v>
      </c>
      <c r="N19" s="8" t="s">
        <v>27</v>
      </c>
      <c r="O19" t="s">
        <v>48</v>
      </c>
      <c r="P19">
        <f t="shared" si="0"/>
        <v>1</v>
      </c>
    </row>
    <row r="20" spans="1:16" x14ac:dyDescent="0.3">
      <c r="A20" s="16" t="s">
        <v>81</v>
      </c>
      <c r="B20" s="17" t="s">
        <v>40</v>
      </c>
      <c r="C20" s="17" t="s">
        <v>40</v>
      </c>
      <c r="D20" s="17" t="s">
        <v>15</v>
      </c>
      <c r="E20" s="17" t="s">
        <v>15</v>
      </c>
      <c r="F20" s="17" t="s">
        <v>40</v>
      </c>
      <c r="G20" s="17" t="s">
        <v>15</v>
      </c>
      <c r="H20" s="17" t="s">
        <v>40</v>
      </c>
      <c r="I20" s="18" t="s">
        <v>41</v>
      </c>
      <c r="J20" s="21">
        <v>0.89583333333333337</v>
      </c>
      <c r="K20" s="21">
        <v>0.10416666666666667</v>
      </c>
      <c r="L20" s="21">
        <v>0.97916666666666663</v>
      </c>
      <c r="M20" s="21">
        <v>0.1875</v>
      </c>
      <c r="N20" s="22" t="s">
        <v>32</v>
      </c>
      <c r="O20" t="s">
        <v>40</v>
      </c>
      <c r="P20">
        <f t="shared" si="0"/>
        <v>1</v>
      </c>
    </row>
    <row r="21" spans="1:16" x14ac:dyDescent="0.3">
      <c r="A21" s="10" t="s">
        <v>82</v>
      </c>
      <c r="B21" s="1" t="s">
        <v>42</v>
      </c>
      <c r="C21" s="1" t="s">
        <v>42</v>
      </c>
      <c r="D21" s="1" t="s">
        <v>42</v>
      </c>
      <c r="E21" s="1" t="s">
        <v>42</v>
      </c>
      <c r="F21" s="1" t="s">
        <v>15</v>
      </c>
      <c r="G21" s="1" t="s">
        <v>15</v>
      </c>
      <c r="H21" s="1" t="s">
        <v>15</v>
      </c>
      <c r="I21" s="2" t="s">
        <v>24</v>
      </c>
      <c r="J21" s="3">
        <v>0.34375</v>
      </c>
      <c r="K21" s="3">
        <v>0.5625</v>
      </c>
      <c r="L21" s="3">
        <v>0.4375</v>
      </c>
      <c r="M21" s="3">
        <v>0.65625</v>
      </c>
      <c r="N21" s="12" t="s">
        <v>17</v>
      </c>
      <c r="O21" t="s">
        <v>46</v>
      </c>
      <c r="P21">
        <f t="shared" si="0"/>
        <v>1</v>
      </c>
    </row>
    <row r="22" spans="1:16" x14ac:dyDescent="0.3">
      <c r="A22" s="16" t="s">
        <v>83</v>
      </c>
      <c r="B22" s="17" t="s">
        <v>43</v>
      </c>
      <c r="C22" s="17" t="s">
        <v>43</v>
      </c>
      <c r="D22" s="17" t="s">
        <v>43</v>
      </c>
      <c r="E22" s="17" t="s">
        <v>15</v>
      </c>
      <c r="F22" s="17" t="s">
        <v>15</v>
      </c>
      <c r="G22" s="17" t="s">
        <v>15</v>
      </c>
      <c r="H22" s="17" t="s">
        <v>43</v>
      </c>
      <c r="I22" s="17" t="s">
        <v>19</v>
      </c>
      <c r="J22" s="21">
        <v>0.30208333333333331</v>
      </c>
      <c r="K22" s="21">
        <v>0.54166666666666663</v>
      </c>
      <c r="L22" s="21">
        <v>0.41666666666666669</v>
      </c>
      <c r="M22" s="21">
        <v>0.64583333333333337</v>
      </c>
      <c r="N22" s="22" t="s">
        <v>32</v>
      </c>
      <c r="O22" t="s">
        <v>18</v>
      </c>
      <c r="P22">
        <f t="shared" si="0"/>
        <v>1</v>
      </c>
    </row>
    <row r="23" spans="1:16" x14ac:dyDescent="0.3">
      <c r="A23" s="11" t="s">
        <v>84</v>
      </c>
      <c r="B23" s="5" t="s">
        <v>44</v>
      </c>
      <c r="C23" s="5" t="s">
        <v>44</v>
      </c>
      <c r="D23" s="5" t="s">
        <v>44</v>
      </c>
      <c r="E23" s="5" t="s">
        <v>44</v>
      </c>
      <c r="F23" s="5" t="s">
        <v>15</v>
      </c>
      <c r="G23" s="5" t="s">
        <v>15</v>
      </c>
      <c r="H23" s="5" t="s">
        <v>15</v>
      </c>
      <c r="I23" s="6" t="s">
        <v>24</v>
      </c>
      <c r="J23" s="7">
        <v>0.51041666666666663</v>
      </c>
      <c r="K23" s="7">
        <v>0.59375</v>
      </c>
      <c r="L23" s="7">
        <v>0.6875</v>
      </c>
      <c r="M23" s="7">
        <v>0.8125</v>
      </c>
      <c r="N23" s="8" t="s">
        <v>27</v>
      </c>
      <c r="O23" t="s">
        <v>18</v>
      </c>
      <c r="P23">
        <f t="shared" si="0"/>
        <v>1</v>
      </c>
    </row>
    <row r="24" spans="1:16" x14ac:dyDescent="0.3">
      <c r="A24" s="11" t="s">
        <v>85</v>
      </c>
      <c r="B24" s="5" t="s">
        <v>20</v>
      </c>
      <c r="C24" s="5" t="s">
        <v>20</v>
      </c>
      <c r="D24" s="5" t="s">
        <v>15</v>
      </c>
      <c r="E24" s="5" t="s">
        <v>20</v>
      </c>
      <c r="F24" s="5" t="s">
        <v>20</v>
      </c>
      <c r="G24" s="5" t="s">
        <v>15</v>
      </c>
      <c r="H24" s="5" t="s">
        <v>15</v>
      </c>
      <c r="I24" s="6" t="s">
        <v>35</v>
      </c>
      <c r="J24" s="7">
        <v>0.42708333333333331</v>
      </c>
      <c r="K24" s="7">
        <v>0.65625</v>
      </c>
      <c r="L24" s="7">
        <v>0.53125</v>
      </c>
      <c r="M24" s="7">
        <v>0.75</v>
      </c>
      <c r="N24" s="8" t="s">
        <v>17</v>
      </c>
      <c r="O24" t="s">
        <v>38</v>
      </c>
      <c r="P24">
        <f t="shared" si="0"/>
        <v>0</v>
      </c>
    </row>
    <row r="25" spans="1:16" x14ac:dyDescent="0.3">
      <c r="A25" s="10" t="s">
        <v>86</v>
      </c>
      <c r="B25" s="1" t="s">
        <v>38</v>
      </c>
      <c r="C25" s="1" t="s">
        <v>38</v>
      </c>
      <c r="D25" s="1" t="s">
        <v>38</v>
      </c>
      <c r="E25" s="1" t="s">
        <v>38</v>
      </c>
      <c r="F25" s="1" t="s">
        <v>15</v>
      </c>
      <c r="G25" s="1" t="s">
        <v>15</v>
      </c>
      <c r="H25" s="1" t="s">
        <v>15</v>
      </c>
      <c r="I25" s="2" t="s">
        <v>24</v>
      </c>
      <c r="J25" s="3">
        <v>0.54166666666666663</v>
      </c>
      <c r="K25" s="3">
        <v>0.76041666666666663</v>
      </c>
      <c r="L25" s="3">
        <v>0.63541666666666663</v>
      </c>
      <c r="M25" s="3">
        <v>0.86458333333333337</v>
      </c>
      <c r="N25" s="4" t="s">
        <v>17</v>
      </c>
      <c r="O25" t="s">
        <v>38</v>
      </c>
      <c r="P25">
        <f t="shared" si="0"/>
        <v>0</v>
      </c>
    </row>
    <row r="26" spans="1:16" x14ac:dyDescent="0.3">
      <c r="A26" s="16" t="s">
        <v>87</v>
      </c>
      <c r="B26" s="17" t="s">
        <v>45</v>
      </c>
      <c r="C26" s="17" t="s">
        <v>45</v>
      </c>
      <c r="D26" s="17" t="s">
        <v>45</v>
      </c>
      <c r="E26" s="17" t="s">
        <v>15</v>
      </c>
      <c r="F26" s="17" t="s">
        <v>15</v>
      </c>
      <c r="G26" s="17" t="s">
        <v>15</v>
      </c>
      <c r="H26" s="17" t="s">
        <v>45</v>
      </c>
      <c r="I26" s="18" t="s">
        <v>19</v>
      </c>
      <c r="J26" s="21">
        <v>0.15625</v>
      </c>
      <c r="K26" s="21">
        <v>0.375</v>
      </c>
      <c r="L26" s="21">
        <v>0.25</v>
      </c>
      <c r="M26" s="21">
        <v>0.47916666666666669</v>
      </c>
      <c r="N26" s="22" t="s">
        <v>32</v>
      </c>
      <c r="O26" t="s">
        <v>39</v>
      </c>
      <c r="P26">
        <f t="shared" si="0"/>
        <v>0</v>
      </c>
    </row>
    <row r="27" spans="1:16" x14ac:dyDescent="0.3">
      <c r="A27" s="11" t="s">
        <v>88</v>
      </c>
      <c r="B27" s="13" t="s">
        <v>56</v>
      </c>
      <c r="C27" s="13" t="s">
        <v>56</v>
      </c>
      <c r="D27" s="5" t="s">
        <v>15</v>
      </c>
      <c r="E27" s="13" t="s">
        <v>56</v>
      </c>
      <c r="F27" s="13" t="s">
        <v>56</v>
      </c>
      <c r="G27" s="5" t="s">
        <v>15</v>
      </c>
      <c r="H27" s="5" t="s">
        <v>15</v>
      </c>
      <c r="I27" s="6" t="s">
        <v>35</v>
      </c>
      <c r="J27" s="7">
        <v>0.16666666666666666</v>
      </c>
      <c r="K27" s="7">
        <v>0.26041666666666669</v>
      </c>
      <c r="L27" s="7">
        <v>4.1666666666666664E-2</v>
      </c>
      <c r="M27" s="7">
        <v>0.33333333333333331</v>
      </c>
      <c r="N27" s="8" t="s">
        <v>22</v>
      </c>
      <c r="O27" t="s">
        <v>44</v>
      </c>
      <c r="P27">
        <f t="shared" si="0"/>
        <v>0</v>
      </c>
    </row>
    <row r="28" spans="1:16" x14ac:dyDescent="0.3">
      <c r="A28" s="11" t="s">
        <v>89</v>
      </c>
      <c r="B28" s="5" t="s">
        <v>20</v>
      </c>
      <c r="C28" s="5" t="s">
        <v>15</v>
      </c>
      <c r="D28" s="5" t="s">
        <v>20</v>
      </c>
      <c r="E28" s="5" t="s">
        <v>20</v>
      </c>
      <c r="F28" s="5" t="s">
        <v>20</v>
      </c>
      <c r="G28" s="5" t="s">
        <v>15</v>
      </c>
      <c r="H28" s="5" t="s">
        <v>15</v>
      </c>
      <c r="I28" s="6" t="s">
        <v>33</v>
      </c>
      <c r="J28" s="7">
        <v>0.41666666666666669</v>
      </c>
      <c r="K28" s="7">
        <v>0.64583333333333337</v>
      </c>
      <c r="L28" s="7">
        <v>0.5</v>
      </c>
      <c r="M28" s="7">
        <v>0.75</v>
      </c>
      <c r="N28" s="8" t="s">
        <v>22</v>
      </c>
      <c r="O28" t="s">
        <v>28</v>
      </c>
      <c r="P28">
        <f t="shared" si="0"/>
        <v>0</v>
      </c>
    </row>
    <row r="29" spans="1:16" x14ac:dyDescent="0.3">
      <c r="A29" s="16" t="s">
        <v>90</v>
      </c>
      <c r="B29" s="17" t="s">
        <v>15</v>
      </c>
      <c r="C29" s="17" t="s">
        <v>15</v>
      </c>
      <c r="D29" s="17" t="s">
        <v>47</v>
      </c>
      <c r="E29" s="17" t="s">
        <v>47</v>
      </c>
      <c r="F29" s="17" t="s">
        <v>47</v>
      </c>
      <c r="G29" s="17" t="s">
        <v>47</v>
      </c>
      <c r="H29" s="17" t="s">
        <v>15</v>
      </c>
      <c r="I29" s="18" t="s">
        <v>29</v>
      </c>
      <c r="J29" s="21">
        <v>0.58333333333333337</v>
      </c>
      <c r="K29" s="21">
        <v>0.8125</v>
      </c>
      <c r="L29" s="21">
        <v>0.67708333333333337</v>
      </c>
      <c r="M29" s="21">
        <v>0.91666666666666663</v>
      </c>
      <c r="N29" s="22" t="s">
        <v>22</v>
      </c>
      <c r="O29" t="s">
        <v>28</v>
      </c>
      <c r="P29">
        <f t="shared" si="0"/>
        <v>0</v>
      </c>
    </row>
    <row r="30" spans="1:16" x14ac:dyDescent="0.3">
      <c r="A30" s="10" t="s">
        <v>91</v>
      </c>
      <c r="B30" s="1" t="s">
        <v>15</v>
      </c>
      <c r="C30" s="1" t="s">
        <v>43</v>
      </c>
      <c r="D30" s="1" t="s">
        <v>43</v>
      </c>
      <c r="E30" s="1" t="s">
        <v>43</v>
      </c>
      <c r="F30" s="1" t="s">
        <v>43</v>
      </c>
      <c r="G30" s="1" t="s">
        <v>15</v>
      </c>
      <c r="H30" s="1" t="s">
        <v>15</v>
      </c>
      <c r="I30" s="2" t="s">
        <v>36</v>
      </c>
      <c r="J30" s="3">
        <v>0.30208333333333331</v>
      </c>
      <c r="K30" s="3">
        <v>0.46875</v>
      </c>
      <c r="L30" s="3">
        <v>0.38541666666666669</v>
      </c>
      <c r="M30" s="3">
        <v>0.58333333333333337</v>
      </c>
      <c r="N30" s="4" t="s">
        <v>22</v>
      </c>
      <c r="O30" t="s">
        <v>28</v>
      </c>
      <c r="P30">
        <f t="shared" si="0"/>
        <v>0</v>
      </c>
    </row>
    <row r="31" spans="1:16" x14ac:dyDescent="0.3">
      <c r="A31" s="16" t="s">
        <v>92</v>
      </c>
      <c r="B31" s="17" t="s">
        <v>48</v>
      </c>
      <c r="C31" s="17" t="s">
        <v>48</v>
      </c>
      <c r="D31" s="17" t="s">
        <v>15</v>
      </c>
      <c r="E31" s="17" t="s">
        <v>15</v>
      </c>
      <c r="F31" s="17" t="s">
        <v>15</v>
      </c>
      <c r="G31" s="17" t="s">
        <v>48</v>
      </c>
      <c r="H31" s="17" t="s">
        <v>48</v>
      </c>
      <c r="I31" s="18" t="s">
        <v>49</v>
      </c>
      <c r="J31" s="21">
        <v>0.95833333333333337</v>
      </c>
      <c r="K31" s="21">
        <v>6.25E-2</v>
      </c>
      <c r="L31" s="21">
        <v>0.16666666666666666</v>
      </c>
      <c r="M31" s="21">
        <v>0.29166666666666669</v>
      </c>
      <c r="N31" s="22" t="s">
        <v>30</v>
      </c>
      <c r="O31" t="s">
        <v>28</v>
      </c>
      <c r="P31">
        <f t="shared" si="0"/>
        <v>0</v>
      </c>
    </row>
    <row r="32" spans="1:16" x14ac:dyDescent="0.3">
      <c r="A32" s="16" t="s">
        <v>93</v>
      </c>
      <c r="B32" s="17" t="s">
        <v>42</v>
      </c>
      <c r="C32" s="17" t="s">
        <v>42</v>
      </c>
      <c r="D32" s="17" t="s">
        <v>42</v>
      </c>
      <c r="E32" s="17" t="s">
        <v>42</v>
      </c>
      <c r="F32" s="17" t="s">
        <v>15</v>
      </c>
      <c r="G32" s="17" t="s">
        <v>15</v>
      </c>
      <c r="H32" s="17" t="s">
        <v>15</v>
      </c>
      <c r="I32" s="18" t="s">
        <v>24</v>
      </c>
      <c r="J32" s="21">
        <v>0.33333333333333331</v>
      </c>
      <c r="K32" s="21">
        <v>0.55208333333333337</v>
      </c>
      <c r="L32" s="21">
        <v>0.42708333333333331</v>
      </c>
      <c r="M32" s="21">
        <v>0.64583333333333337</v>
      </c>
      <c r="N32" s="22" t="s">
        <v>17</v>
      </c>
      <c r="O32" t="s">
        <v>28</v>
      </c>
      <c r="P32">
        <f t="shared" si="0"/>
        <v>0</v>
      </c>
    </row>
    <row r="33" spans="1:16" x14ac:dyDescent="0.3">
      <c r="A33" s="11" t="s">
        <v>94</v>
      </c>
      <c r="B33" s="5" t="s">
        <v>50</v>
      </c>
      <c r="C33" s="5" t="s">
        <v>15</v>
      </c>
      <c r="D33" s="5" t="s">
        <v>15</v>
      </c>
      <c r="E33" s="5" t="s">
        <v>50</v>
      </c>
      <c r="F33" s="5" t="s">
        <v>50</v>
      </c>
      <c r="G33" s="5" t="s">
        <v>15</v>
      </c>
      <c r="H33" s="5" t="s">
        <v>50</v>
      </c>
      <c r="I33" s="6" t="s">
        <v>51</v>
      </c>
      <c r="J33" s="7">
        <v>0.125</v>
      </c>
      <c r="K33" s="7">
        <v>0.21875</v>
      </c>
      <c r="L33" s="7">
        <v>0</v>
      </c>
      <c r="M33" s="7">
        <v>0.29166666666666669</v>
      </c>
      <c r="N33" s="8" t="s">
        <v>17</v>
      </c>
      <c r="O33" t="s">
        <v>28</v>
      </c>
      <c r="P33">
        <f t="shared" si="0"/>
        <v>0</v>
      </c>
    </row>
    <row r="34" spans="1:16" x14ac:dyDescent="0.3">
      <c r="A34" s="16" t="s">
        <v>95</v>
      </c>
      <c r="B34" s="17" t="s">
        <v>18</v>
      </c>
      <c r="C34" s="17" t="s">
        <v>18</v>
      </c>
      <c r="D34" s="17" t="s">
        <v>18</v>
      </c>
      <c r="E34" s="17" t="s">
        <v>18</v>
      </c>
      <c r="F34" s="17" t="s">
        <v>15</v>
      </c>
      <c r="G34" s="17" t="s">
        <v>15</v>
      </c>
      <c r="H34" s="17" t="s">
        <v>15</v>
      </c>
      <c r="I34" s="18" t="s">
        <v>24</v>
      </c>
      <c r="J34" s="21">
        <v>0.625</v>
      </c>
      <c r="K34" s="21">
        <v>0.875</v>
      </c>
      <c r="L34" s="21">
        <v>0.75</v>
      </c>
      <c r="M34" s="21">
        <v>0.97916666666666663</v>
      </c>
      <c r="N34" s="22" t="s">
        <v>22</v>
      </c>
      <c r="O34" t="s">
        <v>28</v>
      </c>
      <c r="P34">
        <f t="shared" si="0"/>
        <v>0</v>
      </c>
    </row>
    <row r="35" spans="1:16" s="36" customFormat="1" x14ac:dyDescent="0.3">
      <c r="A35" s="31" t="s">
        <v>96</v>
      </c>
      <c r="B35" s="32" t="s">
        <v>15</v>
      </c>
      <c r="C35" s="37" t="s">
        <v>42</v>
      </c>
      <c r="D35" s="37" t="s">
        <v>42</v>
      </c>
      <c r="E35" s="37" t="s">
        <v>42</v>
      </c>
      <c r="F35" s="37" t="s">
        <v>42</v>
      </c>
      <c r="G35" s="32" t="s">
        <v>15</v>
      </c>
      <c r="H35" s="32" t="s">
        <v>15</v>
      </c>
      <c r="I35" s="33" t="s">
        <v>36</v>
      </c>
      <c r="J35" s="34">
        <v>0.34375</v>
      </c>
      <c r="K35" s="34">
        <v>0.53125</v>
      </c>
      <c r="L35" s="34">
        <v>0.41666666666666669</v>
      </c>
      <c r="M35" s="34">
        <v>0.625</v>
      </c>
      <c r="N35" s="35" t="s">
        <v>32</v>
      </c>
      <c r="O35" s="36" t="s">
        <v>28</v>
      </c>
      <c r="P35">
        <f t="shared" si="0"/>
        <v>0</v>
      </c>
    </row>
    <row r="36" spans="1:16" x14ac:dyDescent="0.3">
      <c r="A36" s="16" t="s">
        <v>97</v>
      </c>
      <c r="B36" s="17" t="s">
        <v>28</v>
      </c>
      <c r="C36" s="17" t="s">
        <v>28</v>
      </c>
      <c r="D36" s="17" t="s">
        <v>28</v>
      </c>
      <c r="E36" s="17" t="s">
        <v>15</v>
      </c>
      <c r="F36" s="17" t="s">
        <v>28</v>
      </c>
      <c r="G36" s="17" t="s">
        <v>15</v>
      </c>
      <c r="H36" s="17" t="s">
        <v>15</v>
      </c>
      <c r="I36" s="18" t="s">
        <v>21</v>
      </c>
      <c r="J36" s="21">
        <v>0.45833333333333331</v>
      </c>
      <c r="K36" s="21">
        <v>0.55208333333333337</v>
      </c>
      <c r="L36" s="21">
        <v>0.625</v>
      </c>
      <c r="M36" s="21">
        <v>0.77083333333333337</v>
      </c>
      <c r="N36" s="22" t="s">
        <v>30</v>
      </c>
      <c r="O36" t="s">
        <v>28</v>
      </c>
      <c r="P36">
        <f t="shared" si="0"/>
        <v>0</v>
      </c>
    </row>
    <row r="37" spans="1:16" x14ac:dyDescent="0.3">
      <c r="A37" s="11" t="s">
        <v>98</v>
      </c>
      <c r="B37" s="5" t="s">
        <v>20</v>
      </c>
      <c r="C37" s="5" t="s">
        <v>15</v>
      </c>
      <c r="D37" s="5" t="s">
        <v>20</v>
      </c>
      <c r="E37" s="5" t="s">
        <v>20</v>
      </c>
      <c r="F37" s="5" t="s">
        <v>20</v>
      </c>
      <c r="G37" s="5" t="s">
        <v>15</v>
      </c>
      <c r="H37" s="5" t="s">
        <v>15</v>
      </c>
      <c r="I37" s="6" t="s">
        <v>33</v>
      </c>
      <c r="J37" s="7">
        <v>0.42708333333333331</v>
      </c>
      <c r="K37" s="7">
        <v>0.63541666666666663</v>
      </c>
      <c r="L37" s="7">
        <v>0.51041666666666663</v>
      </c>
      <c r="M37" s="7">
        <v>0.73958333333333337</v>
      </c>
      <c r="N37" s="8" t="s">
        <v>17</v>
      </c>
      <c r="O37" t="s">
        <v>28</v>
      </c>
      <c r="P37">
        <f t="shared" si="0"/>
        <v>0</v>
      </c>
    </row>
    <row r="38" spans="1:16" x14ac:dyDescent="0.3">
      <c r="A38" s="11" t="s">
        <v>99</v>
      </c>
      <c r="B38" s="5" t="s">
        <v>52</v>
      </c>
      <c r="C38" s="5" t="s">
        <v>52</v>
      </c>
      <c r="D38" s="5" t="s">
        <v>52</v>
      </c>
      <c r="E38" s="5" t="s">
        <v>15</v>
      </c>
      <c r="F38" s="5" t="s">
        <v>15</v>
      </c>
      <c r="G38" s="5" t="s">
        <v>52</v>
      </c>
      <c r="H38" s="5" t="s">
        <v>15</v>
      </c>
      <c r="I38" s="6" t="s">
        <v>53</v>
      </c>
      <c r="J38" s="7">
        <v>5.2083333333333336E-2</v>
      </c>
      <c r="K38" s="7">
        <v>0.27083333333333331</v>
      </c>
      <c r="L38" s="7">
        <v>0.125</v>
      </c>
      <c r="M38" s="7">
        <v>0.35416666666666669</v>
      </c>
      <c r="N38" s="8" t="s">
        <v>32</v>
      </c>
      <c r="O38" t="s">
        <v>28</v>
      </c>
      <c r="P38">
        <f t="shared" si="0"/>
        <v>0</v>
      </c>
    </row>
    <row r="39" spans="1:16" x14ac:dyDescent="0.3">
      <c r="A39" s="11" t="s">
        <v>100</v>
      </c>
      <c r="B39" s="5" t="s">
        <v>20</v>
      </c>
      <c r="C39" s="5" t="s">
        <v>20</v>
      </c>
      <c r="D39" s="5" t="s">
        <v>15</v>
      </c>
      <c r="E39" s="5" t="s">
        <v>20</v>
      </c>
      <c r="F39" s="5" t="s">
        <v>20</v>
      </c>
      <c r="G39" s="5" t="s">
        <v>15</v>
      </c>
      <c r="H39" s="5" t="s">
        <v>15</v>
      </c>
      <c r="I39" s="6" t="s">
        <v>35</v>
      </c>
      <c r="J39" s="7">
        <v>0.4375</v>
      </c>
      <c r="K39" s="7">
        <v>0.6875</v>
      </c>
      <c r="L39" s="7">
        <v>0.5625</v>
      </c>
      <c r="M39" s="7">
        <v>0.75</v>
      </c>
      <c r="N39" s="8" t="s">
        <v>27</v>
      </c>
      <c r="O39" t="s">
        <v>28</v>
      </c>
      <c r="P39">
        <f t="shared" si="0"/>
        <v>0</v>
      </c>
    </row>
    <row r="40" spans="1:16" x14ac:dyDescent="0.3">
      <c r="A40" s="16" t="s">
        <v>101</v>
      </c>
      <c r="B40" s="17" t="s">
        <v>15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15</v>
      </c>
      <c r="H40" s="17" t="s">
        <v>15</v>
      </c>
      <c r="I40" s="18" t="s">
        <v>36</v>
      </c>
      <c r="J40" s="21">
        <v>0.8125</v>
      </c>
      <c r="K40" s="21">
        <v>0</v>
      </c>
      <c r="L40" s="21">
        <v>0.90625</v>
      </c>
      <c r="M40" s="21">
        <v>0.10416666666666667</v>
      </c>
      <c r="N40" s="22" t="s">
        <v>22</v>
      </c>
      <c r="O40" t="s">
        <v>28</v>
      </c>
      <c r="P40">
        <f t="shared" si="0"/>
        <v>0</v>
      </c>
    </row>
    <row r="41" spans="1:16" x14ac:dyDescent="0.3">
      <c r="A41" s="11" t="s">
        <v>102</v>
      </c>
      <c r="B41" s="5" t="s">
        <v>20</v>
      </c>
      <c r="C41" s="5" t="s">
        <v>20</v>
      </c>
      <c r="D41" s="5" t="s">
        <v>15</v>
      </c>
      <c r="E41" s="5" t="s">
        <v>20</v>
      </c>
      <c r="F41" s="5" t="s">
        <v>20</v>
      </c>
      <c r="G41" s="5" t="s">
        <v>15</v>
      </c>
      <c r="H41" s="5" t="s">
        <v>15</v>
      </c>
      <c r="I41" s="6" t="s">
        <v>35</v>
      </c>
      <c r="J41" s="7">
        <v>0.41666666666666669</v>
      </c>
      <c r="K41" s="7">
        <v>0.625</v>
      </c>
      <c r="L41" s="7">
        <v>0.5</v>
      </c>
      <c r="M41" s="7">
        <v>0.71875</v>
      </c>
      <c r="N41" s="8" t="s">
        <v>17</v>
      </c>
      <c r="O41" t="s">
        <v>20</v>
      </c>
      <c r="P41">
        <f t="shared" si="0"/>
        <v>0</v>
      </c>
    </row>
    <row r="42" spans="1:16" x14ac:dyDescent="0.3">
      <c r="A42" s="11" t="s">
        <v>103</v>
      </c>
      <c r="B42" s="5" t="s">
        <v>28</v>
      </c>
      <c r="C42" s="5" t="s">
        <v>28</v>
      </c>
      <c r="D42" s="5" t="s">
        <v>15</v>
      </c>
      <c r="E42" s="5" t="s">
        <v>28</v>
      </c>
      <c r="F42" s="5" t="s">
        <v>28</v>
      </c>
      <c r="G42" s="5" t="s">
        <v>15</v>
      </c>
      <c r="H42" s="5" t="s">
        <v>15</v>
      </c>
      <c r="I42" s="6" t="s">
        <v>35</v>
      </c>
      <c r="J42" s="7">
        <v>0.48958333333333331</v>
      </c>
      <c r="K42" s="7">
        <v>0.69791666666666663</v>
      </c>
      <c r="L42" s="7">
        <v>0.57291666666666663</v>
      </c>
      <c r="M42" s="7">
        <v>0.78125</v>
      </c>
      <c r="N42" s="8" t="s">
        <v>27</v>
      </c>
      <c r="O42" t="s">
        <v>20</v>
      </c>
      <c r="P42">
        <f t="shared" si="0"/>
        <v>0</v>
      </c>
    </row>
    <row r="43" spans="1:16" x14ac:dyDescent="0.3">
      <c r="A43" s="11" t="s">
        <v>104</v>
      </c>
      <c r="B43" s="5" t="s">
        <v>28</v>
      </c>
      <c r="C43" s="5" t="s">
        <v>28</v>
      </c>
      <c r="D43" s="5" t="s">
        <v>28</v>
      </c>
      <c r="E43" s="5" t="s">
        <v>28</v>
      </c>
      <c r="F43" s="5" t="s">
        <v>15</v>
      </c>
      <c r="G43" s="5" t="s">
        <v>15</v>
      </c>
      <c r="H43" s="5" t="s">
        <v>15</v>
      </c>
      <c r="I43" s="6" t="s">
        <v>24</v>
      </c>
      <c r="J43" s="7">
        <v>0.45833333333333331</v>
      </c>
      <c r="K43" s="7">
        <v>0.67708333333333337</v>
      </c>
      <c r="L43" s="7">
        <v>0.55208333333333337</v>
      </c>
      <c r="M43" s="7">
        <v>0.77083333333333337</v>
      </c>
      <c r="N43" s="8" t="s">
        <v>30</v>
      </c>
      <c r="O43" t="s">
        <v>20</v>
      </c>
      <c r="P43">
        <f t="shared" si="0"/>
        <v>0</v>
      </c>
    </row>
    <row r="44" spans="1:16" x14ac:dyDescent="0.3">
      <c r="A44" s="16" t="s">
        <v>105</v>
      </c>
      <c r="B44" s="17" t="s">
        <v>15</v>
      </c>
      <c r="C44" s="17" t="s">
        <v>15</v>
      </c>
      <c r="D44" s="17" t="s">
        <v>54</v>
      </c>
      <c r="E44" s="17" t="s">
        <v>54</v>
      </c>
      <c r="F44" s="17" t="s">
        <v>54</v>
      </c>
      <c r="G44" s="17" t="s">
        <v>54</v>
      </c>
      <c r="H44" s="17" t="s">
        <v>15</v>
      </c>
      <c r="I44" s="18" t="s">
        <v>55</v>
      </c>
      <c r="J44" s="21">
        <v>0.85416666666666663</v>
      </c>
      <c r="K44" s="21">
        <v>7.2916666666666671E-2</v>
      </c>
      <c r="L44" s="21">
        <v>0.94791666666666663</v>
      </c>
      <c r="M44" s="21">
        <v>0.17708333333333334</v>
      </c>
      <c r="N44" s="22" t="s">
        <v>32</v>
      </c>
      <c r="O44" t="s">
        <v>20</v>
      </c>
      <c r="P44">
        <f t="shared" si="0"/>
        <v>0</v>
      </c>
    </row>
    <row r="45" spans="1:16" x14ac:dyDescent="0.3">
      <c r="A45" s="10" t="s">
        <v>106</v>
      </c>
      <c r="B45" s="1" t="s">
        <v>28</v>
      </c>
      <c r="C45" s="1" t="s">
        <v>28</v>
      </c>
      <c r="D45" s="1" t="s">
        <v>15</v>
      </c>
      <c r="E45" s="1" t="s">
        <v>28</v>
      </c>
      <c r="F45" s="1" t="s">
        <v>28</v>
      </c>
      <c r="G45" s="1" t="s">
        <v>15</v>
      </c>
      <c r="H45" s="1" t="s">
        <v>15</v>
      </c>
      <c r="I45" s="2" t="s">
        <v>24</v>
      </c>
      <c r="J45" s="3">
        <v>0.47916666666666669</v>
      </c>
      <c r="K45" s="3">
        <v>0.67708333333333337</v>
      </c>
      <c r="L45" s="3">
        <v>0.57291666666666663</v>
      </c>
      <c r="M45" s="3">
        <v>0.78125</v>
      </c>
      <c r="N45" s="4" t="s">
        <v>17</v>
      </c>
      <c r="O45" t="s">
        <v>20</v>
      </c>
      <c r="P45">
        <f t="shared" si="0"/>
        <v>0</v>
      </c>
    </row>
    <row r="46" spans="1:16" x14ac:dyDescent="0.3">
      <c r="A46" s="16" t="s">
        <v>107</v>
      </c>
      <c r="B46" s="17" t="s">
        <v>15</v>
      </c>
      <c r="C46" s="17" t="s">
        <v>28</v>
      </c>
      <c r="D46" s="17" t="s">
        <v>28</v>
      </c>
      <c r="E46" s="17" t="s">
        <v>28</v>
      </c>
      <c r="F46" s="17" t="s">
        <v>28</v>
      </c>
      <c r="G46" s="17" t="s">
        <v>15</v>
      </c>
      <c r="H46" s="17" t="s">
        <v>15</v>
      </c>
      <c r="I46" s="18" t="s">
        <v>36</v>
      </c>
      <c r="J46" s="21">
        <v>0.46875</v>
      </c>
      <c r="K46" s="21">
        <v>0.5625</v>
      </c>
      <c r="L46" s="21">
        <v>0.625</v>
      </c>
      <c r="M46" s="21">
        <v>0.78125</v>
      </c>
      <c r="N46" s="22" t="s">
        <v>27</v>
      </c>
      <c r="O46" t="s">
        <v>20</v>
      </c>
      <c r="P46">
        <f t="shared" si="0"/>
        <v>0</v>
      </c>
    </row>
    <row r="47" spans="1:16" x14ac:dyDescent="0.3">
      <c r="A47" s="10" t="s">
        <v>108</v>
      </c>
      <c r="B47" s="1" t="s">
        <v>43</v>
      </c>
      <c r="C47" s="1" t="s">
        <v>43</v>
      </c>
      <c r="D47" s="1" t="s">
        <v>15</v>
      </c>
      <c r="E47" s="1" t="s">
        <v>15</v>
      </c>
      <c r="F47" s="1" t="s">
        <v>15</v>
      </c>
      <c r="G47" s="1" t="s">
        <v>43</v>
      </c>
      <c r="H47" s="1" t="s">
        <v>43</v>
      </c>
      <c r="I47" s="2" t="s">
        <v>16</v>
      </c>
      <c r="J47" s="3">
        <v>0.29166666666666669</v>
      </c>
      <c r="K47" s="3">
        <v>0.51041666666666663</v>
      </c>
      <c r="L47" s="3">
        <v>0.38541666666666669</v>
      </c>
      <c r="M47" s="3">
        <v>0.61458333333333337</v>
      </c>
      <c r="N47" s="4" t="s">
        <v>17</v>
      </c>
      <c r="O47" t="s">
        <v>20</v>
      </c>
      <c r="P47">
        <f t="shared" si="0"/>
        <v>0</v>
      </c>
    </row>
    <row r="48" spans="1:16" x14ac:dyDescent="0.3">
      <c r="A48" s="16" t="s">
        <v>109</v>
      </c>
      <c r="B48" s="17" t="s">
        <v>15</v>
      </c>
      <c r="C48" s="17" t="s">
        <v>15</v>
      </c>
      <c r="D48" s="17" t="s">
        <v>15</v>
      </c>
      <c r="E48" s="17" t="s">
        <v>25</v>
      </c>
      <c r="F48" s="17" t="s">
        <v>25</v>
      </c>
      <c r="G48" s="17" t="s">
        <v>25</v>
      </c>
      <c r="H48" s="17" t="s">
        <v>25</v>
      </c>
      <c r="I48" s="18" t="s">
        <v>26</v>
      </c>
      <c r="J48" s="21">
        <v>0.91666666666666663</v>
      </c>
      <c r="K48" s="21">
        <v>2.0833333333333332E-2</v>
      </c>
      <c r="L48" s="21">
        <v>0.10416666666666667</v>
      </c>
      <c r="M48" s="21">
        <v>0.25</v>
      </c>
      <c r="N48" s="22" t="s">
        <v>32</v>
      </c>
      <c r="O48" t="s">
        <v>20</v>
      </c>
      <c r="P48">
        <f t="shared" si="0"/>
        <v>0</v>
      </c>
    </row>
    <row r="49" spans="1:16" x14ac:dyDescent="0.3">
      <c r="A49" s="10" t="s">
        <v>110</v>
      </c>
      <c r="B49" s="1" t="s">
        <v>56</v>
      </c>
      <c r="C49" s="1" t="s">
        <v>56</v>
      </c>
      <c r="D49" s="1" t="s">
        <v>56</v>
      </c>
      <c r="E49" s="1" t="s">
        <v>56</v>
      </c>
      <c r="F49" s="1" t="s">
        <v>15</v>
      </c>
      <c r="G49" s="1" t="s">
        <v>15</v>
      </c>
      <c r="H49" s="1" t="s">
        <v>15</v>
      </c>
      <c r="I49" s="2" t="s">
        <v>24</v>
      </c>
      <c r="J49" s="3">
        <v>0</v>
      </c>
      <c r="K49" s="3">
        <v>0.19791666666666666</v>
      </c>
      <c r="L49" s="3">
        <v>9.375E-2</v>
      </c>
      <c r="M49" s="3">
        <v>0.30208333333333331</v>
      </c>
      <c r="N49" s="4" t="s">
        <v>22</v>
      </c>
      <c r="O49" t="s">
        <v>20</v>
      </c>
      <c r="P49">
        <f t="shared" si="0"/>
        <v>0</v>
      </c>
    </row>
    <row r="50" spans="1:16" x14ac:dyDescent="0.3">
      <c r="A50" s="11" t="s">
        <v>111</v>
      </c>
      <c r="B50" s="5" t="s">
        <v>15</v>
      </c>
      <c r="C50" s="5" t="s">
        <v>15</v>
      </c>
      <c r="D50" s="5" t="s">
        <v>15</v>
      </c>
      <c r="E50" s="5" t="s">
        <v>44</v>
      </c>
      <c r="F50" s="5" t="s">
        <v>44</v>
      </c>
      <c r="G50" s="5" t="s">
        <v>44</v>
      </c>
      <c r="H50" s="5" t="s">
        <v>44</v>
      </c>
      <c r="I50" s="6" t="s">
        <v>57</v>
      </c>
      <c r="J50" s="7">
        <v>0.5</v>
      </c>
      <c r="K50" s="7">
        <v>0.72916666666666663</v>
      </c>
      <c r="L50" s="7">
        <v>0.60416666666666663</v>
      </c>
      <c r="M50" s="7">
        <v>0.82291666666666663</v>
      </c>
      <c r="N50" s="8" t="s">
        <v>32</v>
      </c>
      <c r="O50" t="s">
        <v>23</v>
      </c>
      <c r="P50">
        <f t="shared" si="0"/>
        <v>0</v>
      </c>
    </row>
    <row r="51" spans="1:16" x14ac:dyDescent="0.3">
      <c r="A51" s="10" t="s">
        <v>112</v>
      </c>
      <c r="B51" s="1" t="s">
        <v>28</v>
      </c>
      <c r="C51" s="1" t="s">
        <v>15</v>
      </c>
      <c r="D51" s="1" t="s">
        <v>15</v>
      </c>
      <c r="E51" s="1" t="s">
        <v>15</v>
      </c>
      <c r="F51" s="1" t="s">
        <v>28</v>
      </c>
      <c r="G51" s="1" t="s">
        <v>28</v>
      </c>
      <c r="H51" s="1" t="s">
        <v>28</v>
      </c>
      <c r="I51" s="2" t="s">
        <v>31</v>
      </c>
      <c r="J51" s="3">
        <v>0.46875</v>
      </c>
      <c r="K51" s="3">
        <v>0.5625</v>
      </c>
      <c r="L51" s="3">
        <v>0.625</v>
      </c>
      <c r="M51" s="3">
        <v>0.77083333333333337</v>
      </c>
      <c r="N51" s="4" t="s">
        <v>32</v>
      </c>
      <c r="O51" t="s">
        <v>23</v>
      </c>
      <c r="P51">
        <f t="shared" si="0"/>
        <v>0</v>
      </c>
    </row>
    <row r="52" spans="1:16" x14ac:dyDescent="0.3">
      <c r="A52" s="11" t="s">
        <v>113</v>
      </c>
      <c r="B52" s="5" t="s">
        <v>28</v>
      </c>
      <c r="C52" s="5" t="s">
        <v>15</v>
      </c>
      <c r="D52" s="5" t="s">
        <v>15</v>
      </c>
      <c r="E52" s="5" t="s">
        <v>15</v>
      </c>
      <c r="F52" s="5" t="s">
        <v>28</v>
      </c>
      <c r="G52" s="5" t="s">
        <v>28</v>
      </c>
      <c r="H52" s="5" t="s">
        <v>28</v>
      </c>
      <c r="I52" s="6" t="s">
        <v>31</v>
      </c>
      <c r="J52" s="7">
        <v>0.44791666666666669</v>
      </c>
      <c r="K52" s="7">
        <v>0.65625</v>
      </c>
      <c r="L52" s="7">
        <v>0.52083333333333337</v>
      </c>
      <c r="M52" s="7">
        <v>0.76041666666666663</v>
      </c>
      <c r="N52" s="8" t="s">
        <v>30</v>
      </c>
      <c r="O52" t="s">
        <v>62</v>
      </c>
      <c r="P52">
        <f t="shared" si="0"/>
        <v>0</v>
      </c>
    </row>
    <row r="53" spans="1:16" x14ac:dyDescent="0.3">
      <c r="A53" s="16" t="s">
        <v>114</v>
      </c>
      <c r="B53" s="17" t="s">
        <v>46</v>
      </c>
      <c r="C53" s="17" t="s">
        <v>46</v>
      </c>
      <c r="D53" s="17" t="s">
        <v>46</v>
      </c>
      <c r="E53" s="17" t="s">
        <v>15</v>
      </c>
      <c r="F53" s="17" t="s">
        <v>15</v>
      </c>
      <c r="G53" s="17" t="s">
        <v>15</v>
      </c>
      <c r="H53" s="17" t="s">
        <v>46</v>
      </c>
      <c r="I53" s="18" t="s">
        <v>19</v>
      </c>
      <c r="J53" s="21">
        <v>0.8125</v>
      </c>
      <c r="K53" s="21">
        <v>1.0416666666666666E-2</v>
      </c>
      <c r="L53" s="21">
        <v>0.89583333333333337</v>
      </c>
      <c r="M53" s="21">
        <v>0.11458333333333333</v>
      </c>
      <c r="N53" s="22" t="s">
        <v>32</v>
      </c>
      <c r="O53" t="s">
        <v>62</v>
      </c>
      <c r="P53">
        <f t="shared" si="0"/>
        <v>0</v>
      </c>
    </row>
    <row r="54" spans="1:16" x14ac:dyDescent="0.3">
      <c r="A54" s="30" t="s">
        <v>115</v>
      </c>
      <c r="B54" s="9" t="s">
        <v>58</v>
      </c>
      <c r="C54" s="9" t="s">
        <v>58</v>
      </c>
      <c r="D54" s="1" t="s">
        <v>15</v>
      </c>
      <c r="E54" s="1" t="s">
        <v>15</v>
      </c>
      <c r="F54" s="1" t="s">
        <v>15</v>
      </c>
      <c r="G54" s="9" t="s">
        <v>58</v>
      </c>
      <c r="H54" s="9" t="s">
        <v>58</v>
      </c>
      <c r="I54" s="2" t="s">
        <v>49</v>
      </c>
      <c r="J54" s="9">
        <v>8.3333333333333329E-2</v>
      </c>
      <c r="K54" s="9">
        <v>0.16666666666666666</v>
      </c>
      <c r="L54" s="9">
        <v>0.29166666666666669</v>
      </c>
      <c r="M54" s="9">
        <v>0.41666666666666669</v>
      </c>
      <c r="N54" s="4" t="s">
        <v>59</v>
      </c>
      <c r="O54" t="s">
        <v>42</v>
      </c>
      <c r="P54">
        <f t="shared" si="0"/>
        <v>0</v>
      </c>
    </row>
    <row r="55" spans="1:16" x14ac:dyDescent="0.3">
      <c r="A55" s="11" t="s">
        <v>116</v>
      </c>
      <c r="B55" s="5" t="s">
        <v>15</v>
      </c>
      <c r="C55" s="5" t="s">
        <v>15</v>
      </c>
      <c r="D55" s="5" t="s">
        <v>60</v>
      </c>
      <c r="E55" s="5" t="s">
        <v>60</v>
      </c>
      <c r="F55" s="5" t="s">
        <v>15</v>
      </c>
      <c r="G55" s="5" t="s">
        <v>60</v>
      </c>
      <c r="H55" s="5" t="s">
        <v>60</v>
      </c>
      <c r="I55" s="6" t="s">
        <v>61</v>
      </c>
      <c r="J55" s="7">
        <v>5.2083333333333336E-2</v>
      </c>
      <c r="K55" s="7">
        <v>0.27083333333333331</v>
      </c>
      <c r="L55" s="7">
        <v>0.14583333333333334</v>
      </c>
      <c r="M55" s="7">
        <v>0.36458333333333331</v>
      </c>
      <c r="N55" s="8" t="s">
        <v>30</v>
      </c>
      <c r="O55" t="s">
        <v>42</v>
      </c>
      <c r="P55">
        <f t="shared" si="0"/>
        <v>0</v>
      </c>
    </row>
    <row r="56" spans="1:16" x14ac:dyDescent="0.3">
      <c r="A56" s="10" t="s">
        <v>117</v>
      </c>
      <c r="B56" s="1" t="s">
        <v>15</v>
      </c>
      <c r="C56" s="1" t="s">
        <v>15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15</v>
      </c>
      <c r="I56" s="2" t="s">
        <v>29</v>
      </c>
      <c r="J56" s="3">
        <v>0.46875</v>
      </c>
      <c r="K56" s="3">
        <v>0.72916666666666663</v>
      </c>
      <c r="L56" s="3">
        <v>0.5625</v>
      </c>
      <c r="M56" s="3">
        <v>0.79166666666666663</v>
      </c>
      <c r="N56" s="4" t="s">
        <v>22</v>
      </c>
      <c r="O56" t="s">
        <v>43</v>
      </c>
      <c r="P56">
        <f t="shared" si="0"/>
        <v>0</v>
      </c>
    </row>
    <row r="57" spans="1:16" x14ac:dyDescent="0.3">
      <c r="A57" s="16" t="s">
        <v>118</v>
      </c>
      <c r="B57" s="17" t="s">
        <v>62</v>
      </c>
      <c r="C57" s="17" t="s">
        <v>62</v>
      </c>
      <c r="D57" s="17" t="s">
        <v>15</v>
      </c>
      <c r="E57" s="17" t="s">
        <v>15</v>
      </c>
      <c r="F57" s="17" t="s">
        <v>15</v>
      </c>
      <c r="G57" s="17" t="s">
        <v>62</v>
      </c>
      <c r="H57" s="17" t="s">
        <v>62</v>
      </c>
      <c r="I57" s="18" t="s">
        <v>16</v>
      </c>
      <c r="J57" s="21">
        <v>0.36458333333333331</v>
      </c>
      <c r="K57" s="21">
        <v>0.57291666666666663</v>
      </c>
      <c r="L57" s="21">
        <v>0.44791666666666669</v>
      </c>
      <c r="M57" s="21">
        <v>0.67708333333333337</v>
      </c>
      <c r="N57" s="22" t="s">
        <v>27</v>
      </c>
      <c r="O57" t="s">
        <v>43</v>
      </c>
      <c r="P57">
        <f t="shared" si="0"/>
        <v>0</v>
      </c>
    </row>
    <row r="58" spans="1:16" x14ac:dyDescent="0.3">
      <c r="A58" s="11" t="s">
        <v>79</v>
      </c>
      <c r="B58" s="5" t="s">
        <v>39</v>
      </c>
      <c r="C58" s="5" t="s">
        <v>39</v>
      </c>
      <c r="D58" s="5" t="s">
        <v>15</v>
      </c>
      <c r="E58" s="5" t="s">
        <v>15</v>
      </c>
      <c r="F58" s="5" t="s">
        <v>15</v>
      </c>
      <c r="G58" s="5" t="s">
        <v>39</v>
      </c>
      <c r="H58" s="5" t="s">
        <v>39</v>
      </c>
      <c r="I58" s="6" t="s">
        <v>16</v>
      </c>
      <c r="J58" s="7">
        <v>0.53125</v>
      </c>
      <c r="K58" s="7">
        <v>0.76041666666666663</v>
      </c>
      <c r="L58" s="7">
        <v>0.64583333333333337</v>
      </c>
      <c r="M58" s="7">
        <v>0.875</v>
      </c>
      <c r="N58" s="8" t="s">
        <v>27</v>
      </c>
      <c r="O58" t="s">
        <v>34</v>
      </c>
      <c r="P58">
        <f t="shared" si="0"/>
        <v>0</v>
      </c>
    </row>
    <row r="59" spans="1:16" x14ac:dyDescent="0.3">
      <c r="A59" s="11" t="s">
        <v>119</v>
      </c>
      <c r="B59" s="5" t="s">
        <v>28</v>
      </c>
      <c r="C59" s="5" t="s">
        <v>28</v>
      </c>
      <c r="D59" s="5" t="s">
        <v>28</v>
      </c>
      <c r="E59" s="5" t="s">
        <v>15</v>
      </c>
      <c r="F59" s="5" t="s">
        <v>28</v>
      </c>
      <c r="G59" s="5" t="s">
        <v>15</v>
      </c>
      <c r="H59" s="5" t="s">
        <v>15</v>
      </c>
      <c r="I59" s="6" t="s">
        <v>21</v>
      </c>
      <c r="J59" s="7">
        <v>0.48958333333333331</v>
      </c>
      <c r="K59" s="7">
        <v>0.72916666666666663</v>
      </c>
      <c r="L59" s="7">
        <v>0.60416666666666663</v>
      </c>
      <c r="M59" s="7">
        <v>0.8125</v>
      </c>
      <c r="N59" s="8" t="s">
        <v>30</v>
      </c>
      <c r="O59" t="s">
        <v>45</v>
      </c>
      <c r="P59">
        <f t="shared" si="0"/>
        <v>0</v>
      </c>
    </row>
    <row r="60" spans="1:16" x14ac:dyDescent="0.3">
      <c r="A60" s="11" t="s">
        <v>120</v>
      </c>
      <c r="B60" s="5" t="s">
        <v>62</v>
      </c>
      <c r="C60" s="5" t="s">
        <v>62</v>
      </c>
      <c r="D60" s="5" t="s">
        <v>62</v>
      </c>
      <c r="E60" s="5" t="s">
        <v>62</v>
      </c>
      <c r="F60" s="5" t="s">
        <v>15</v>
      </c>
      <c r="G60" s="5" t="s">
        <v>15</v>
      </c>
      <c r="H60" s="5" t="s">
        <v>15</v>
      </c>
      <c r="I60" s="6" t="s">
        <v>24</v>
      </c>
      <c r="J60" s="7">
        <v>0.375</v>
      </c>
      <c r="K60" s="7">
        <v>0.47916666666666669</v>
      </c>
      <c r="L60" s="7">
        <v>0.58333333333333337</v>
      </c>
      <c r="M60" s="7">
        <v>0.67708333333333337</v>
      </c>
      <c r="N60" s="8" t="s">
        <v>22</v>
      </c>
      <c r="O60" t="s">
        <v>14</v>
      </c>
      <c r="P60">
        <f t="shared" si="0"/>
        <v>0</v>
      </c>
    </row>
    <row r="61" spans="1:16" x14ac:dyDescent="0.3">
      <c r="A61" s="11" t="s">
        <v>121</v>
      </c>
      <c r="B61" s="5" t="s">
        <v>20</v>
      </c>
      <c r="C61" s="5" t="s">
        <v>15</v>
      </c>
      <c r="D61" s="5" t="s">
        <v>20</v>
      </c>
      <c r="E61" s="5" t="s">
        <v>20</v>
      </c>
      <c r="F61" s="5" t="s">
        <v>20</v>
      </c>
      <c r="G61" s="5" t="s">
        <v>15</v>
      </c>
      <c r="H61" s="5" t="s">
        <v>15</v>
      </c>
      <c r="I61" s="6" t="s">
        <v>33</v>
      </c>
      <c r="J61" s="7">
        <v>0.42708333333333331</v>
      </c>
      <c r="K61" s="7">
        <v>0.64583333333333337</v>
      </c>
      <c r="L61" s="7">
        <v>0.51041666666666663</v>
      </c>
      <c r="M61" s="7">
        <v>0.76041666666666663</v>
      </c>
      <c r="N61" s="8" t="s">
        <v>30</v>
      </c>
      <c r="O61" t="s">
        <v>58</v>
      </c>
      <c r="P61">
        <f t="shared" si="0"/>
        <v>0</v>
      </c>
    </row>
  </sheetData>
  <autoFilter ref="A1:N61" xr:uid="{B741E4C5-4AB3-495A-BC0E-EE9A88F70393}">
    <sortState xmlns:xlrd2="http://schemas.microsoft.com/office/spreadsheetml/2017/richdata2" ref="A2:N61">
      <sortCondition ref="A1:A61"/>
    </sortState>
  </autoFilter>
  <conditionalFormatting sqref="A2:I61">
    <cfRule type="cellIs" dxfId="4" priority="1" operator="equal">
      <formula>"OFF"</formula>
    </cfRule>
  </conditionalFormatting>
  <conditionalFormatting sqref="I57:I58">
    <cfRule type="cellIs" dxfId="3" priority="2" operator="equal">
      <formula>"OFF"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52C-27C0-45B0-B89A-D9ECF8590EEA}">
  <dimension ref="A1:N61"/>
  <sheetViews>
    <sheetView workbookViewId="0">
      <selection activeCell="G18" sqref="G18"/>
    </sheetView>
  </sheetViews>
  <sheetFormatPr defaultRowHeight="14.4" x14ac:dyDescent="0.3"/>
  <cols>
    <col min="1" max="1" width="30.33203125" customWidth="1"/>
    <col min="2" max="8" width="13.109375" customWidth="1"/>
    <col min="9" max="9" width="20.109375" bestFit="1" customWidth="1"/>
    <col min="14" max="14" width="18.5546875" bestFit="1" customWidth="1"/>
  </cols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3">
      <c r="A2" t="str">
        <f>EST!A2</f>
        <v>AIREEN BALANON</v>
      </c>
      <c r="B2" t="str">
        <f>IFERROR(_xlfn.LET(_xlpm.s,SUBSTITUTE(IF(EST!$P2=1,EST!H2,EST!B2)," ",""),IF(_xlpm.s="OFF","OFF",TEXT(MOD(TIMEVALUE(_xlfn.TEXTBEFORE(_xlpm.s,"-"))+0.5,1),"hh:mm")&amp;" - "&amp;TEXT(MOD(TIMEVALUE(_xlfn.TEXTAFTER(_xlpm.s,"-"))+0.5,1),"hh:mm"))),IF(EST!$P2=1,EST!H2,EST!B2))</f>
        <v>13:00 - 00:00</v>
      </c>
      <c r="C2" t="str">
        <f>IFERROR(_xlfn.LET(_xlpm.s,SUBSTITUTE(IF(EST!$P2=1,EST!B2,EST!C2)," ",""),IF(_xlpm.s="OFF","OFF",TEXT(MOD(TIMEVALUE(_xlfn.TEXTBEFORE(_xlpm.s,"-"))+0.5,1),"hh:mm")&amp;" - "&amp;TEXT(MOD(TIMEVALUE(_xlfn.TEXTAFTER(_xlpm.s,"-"))+0.5,1),"hh:mm"))),IF(EST!$P2=1,EST!B2,EST!C2))</f>
        <v>13:00 - 00:00</v>
      </c>
      <c r="D2" t="str">
        <f>IFERROR(_xlfn.LET(_xlpm.s,SUBSTITUTE(IF(EST!$P2=1,EST!C2,EST!D2)," ",""),IF(_xlpm.s="OFF","OFF",TEXT(MOD(TIMEVALUE(_xlfn.TEXTBEFORE(_xlpm.s,"-"))+0.5,1),"hh:mm")&amp;" - "&amp;TEXT(MOD(TIMEVALUE(_xlfn.TEXTAFTER(_xlpm.s,"-"))+0.5,1),"hh:mm"))),IF(EST!$P2=1,EST!C2,EST!D2))</f>
        <v>13:00 - 00:00</v>
      </c>
      <c r="E2" t="str">
        <f>IFERROR(_xlfn.LET(_xlpm.s,SUBSTITUTE(IF(EST!$P2=1,EST!D2,EST!E2)," ",""),IF(_xlpm.s="OFF","OFF",TEXT(MOD(TIMEVALUE(_xlfn.TEXTBEFORE(_xlpm.s,"-"))+0.5,1),"hh:mm")&amp;" - "&amp;TEXT(MOD(TIMEVALUE(_xlfn.TEXTAFTER(_xlpm.s,"-"))+0.5,1),"hh:mm"))),IF(EST!$P2=1,EST!D2,EST!E2))</f>
        <v>OFF</v>
      </c>
      <c r="F2" t="str">
        <f>IFERROR(_xlfn.LET(_xlpm.s,SUBSTITUTE(IF(EST!$P2=1,EST!E2,EST!F2)," ",""),IF(_xlpm.s="OFF","OFF",TEXT(MOD(TIMEVALUE(_xlfn.TEXTBEFORE(_xlpm.s,"-"))+0.5,1),"hh:mm")&amp;" - "&amp;TEXT(MOD(TIMEVALUE(_xlfn.TEXTAFTER(_xlpm.s,"-"))+0.5,1),"hh:mm"))),IF(EST!$P2=1,EST!E2,EST!F2))</f>
        <v>OFF</v>
      </c>
      <c r="G2" t="str">
        <f>IFERROR(_xlfn.LET(_xlpm.s,SUBSTITUTE(IF(EST!$P2=1,EST!F2,EST!G2)," ",""),IF(_xlpm.s="OFF","OFF",TEXT(MOD(TIMEVALUE(_xlfn.TEXTBEFORE(_xlpm.s,"-"))+0.5,1),"hh:mm")&amp;" - "&amp;TEXT(MOD(TIMEVALUE(_xlfn.TEXTAFTER(_xlpm.s,"-"))+0.5,1),"hh:mm"))),IF(EST!$P2=1,EST!F2,EST!G2))</f>
        <v>OFF</v>
      </c>
      <c r="H2" t="str">
        <f>IFERROR(_xlfn.LET(_xlpm.s,SUBSTITUTE(IF(EST!$P2=1,EST!G2,EST!H2)," ",""),IF(_xlpm.s="OFF","OFF",TEXT(MOD(TIMEVALUE(_xlfn.TEXTBEFORE(_xlpm.s,"-"))+0.5,1),"hh:mm")&amp;" - "&amp;TEXT(MOD(TIMEVALUE(_xlfn.TEXTAFTER(_xlpm.s,"-"))+0.5,1),"hh:mm"))),IF(EST!$P2=1,EST!G2,EST!H2))</f>
        <v>13:00 - 00:00</v>
      </c>
      <c r="I2" t="str">
        <f>_xlfn.TEXTJOIN(" - ",TRUE,
IF(B2="OFF","Mon",""),
IF(C2="OFF","Tue",""),
IF(D2="OFF","Wed",""),
IF(E2="OFF","Thu",""),
IF(F2="OFF","Fri",""),
IF(G2="OFF","Sat",""),
IF(H2="OFF","Sun",""))</f>
        <v>Thu - Fri - Sat</v>
      </c>
      <c r="J2" s="38">
        <f>MOD(EST!J2+TIME(12,0,0),1)</f>
        <v>0.625</v>
      </c>
      <c r="K2" s="38">
        <f>MOD(EST!K2+TIME(12,0,0),1)</f>
        <v>0.85416666666666674</v>
      </c>
      <c r="L2" s="38">
        <f>MOD(EST!L2+TIME(12,0,0),1)</f>
        <v>0.76041666666666674</v>
      </c>
      <c r="M2" s="38">
        <f>MOD(EST!M2+TIME(12,0,0),1)</f>
        <v>0.94791666666666674</v>
      </c>
      <c r="N2" t="str">
        <f>EST!N2</f>
        <v>Remmo Panaligan</v>
      </c>
    </row>
    <row r="3" spans="1:14" x14ac:dyDescent="0.3">
      <c r="A3" t="str">
        <f>EST!A3</f>
        <v>ALEC CHRISTIAN PALABAY</v>
      </c>
      <c r="B3" t="str">
        <f>IFERROR(_xlfn.LET(_xlpm.s,SUBSTITUTE(IF(EST!$P3=1,EST!H3,EST!B3)," ",""),IF(_xlpm.s="OFF","OFF",TEXT(MOD(TIMEVALUE(_xlfn.TEXTBEFORE(_xlpm.s,"-"))+0.5,1),"hh:mm")&amp;" - "&amp;TEXT(MOD(TIMEVALUE(_xlfn.TEXTAFTER(_xlpm.s,"-"))+0.5,1),"hh:mm"))),IF(EST!$P3=1,EST!H3,EST!B3))</f>
        <v>01:00 - 12:00</v>
      </c>
      <c r="C3" t="str">
        <f>IFERROR(_xlfn.LET(_xlpm.s,SUBSTITUTE(IF(EST!$P3=1,EST!B3,EST!C3)," ",""),IF(_xlpm.s="OFF","OFF",TEXT(MOD(TIMEVALUE(_xlfn.TEXTBEFORE(_xlpm.s,"-"))+0.5,1),"hh:mm")&amp;" - "&amp;TEXT(MOD(TIMEVALUE(_xlfn.TEXTAFTER(_xlpm.s,"-"))+0.5,1),"hh:mm"))),IF(EST!$P3=1,EST!B3,EST!C3))</f>
        <v>01:00 - 12:00</v>
      </c>
      <c r="D3" t="str">
        <f>IFERROR(_xlfn.LET(_xlpm.s,SUBSTITUTE(IF(EST!$P3=1,EST!C3,EST!D3)," ",""),IF(_xlpm.s="OFF","OFF",TEXT(MOD(TIMEVALUE(_xlfn.TEXTBEFORE(_xlpm.s,"-"))+0.5,1),"hh:mm")&amp;" - "&amp;TEXT(MOD(TIMEVALUE(_xlfn.TEXTAFTER(_xlpm.s,"-"))+0.5,1),"hh:mm"))),IF(EST!$P3=1,EST!C3,EST!D3))</f>
        <v>01:00 - 12:00</v>
      </c>
      <c r="E3" t="str">
        <f>IFERROR(_xlfn.LET(_xlpm.s,SUBSTITUTE(IF(EST!$P3=1,EST!D3,EST!E3)," ",""),IF(_xlpm.s="OFF","OFF",TEXT(MOD(TIMEVALUE(_xlfn.TEXTBEFORE(_xlpm.s,"-"))+0.5,1),"hh:mm")&amp;" - "&amp;TEXT(MOD(TIMEVALUE(_xlfn.TEXTAFTER(_xlpm.s,"-"))+0.5,1),"hh:mm"))),IF(EST!$P3=1,EST!D3,EST!E3))</f>
        <v>OFF</v>
      </c>
      <c r="F3" t="str">
        <f>IFERROR(_xlfn.LET(_xlpm.s,SUBSTITUTE(IF(EST!$P3=1,EST!E3,EST!F3)," ",""),IF(_xlpm.s="OFF","OFF",TEXT(MOD(TIMEVALUE(_xlfn.TEXTBEFORE(_xlpm.s,"-"))+0.5,1),"hh:mm")&amp;" - "&amp;TEXT(MOD(TIMEVALUE(_xlfn.TEXTAFTER(_xlpm.s,"-"))+0.5,1),"hh:mm"))),IF(EST!$P3=1,EST!E3,EST!F3))</f>
        <v>OFF</v>
      </c>
      <c r="G3" t="str">
        <f>IFERROR(_xlfn.LET(_xlpm.s,SUBSTITUTE(IF(EST!$P3=1,EST!F3,EST!G3)," ",""),IF(_xlpm.s="OFF","OFF",TEXT(MOD(TIMEVALUE(_xlfn.TEXTBEFORE(_xlpm.s,"-"))+0.5,1),"hh:mm")&amp;" - "&amp;TEXT(MOD(TIMEVALUE(_xlfn.TEXTAFTER(_xlpm.s,"-"))+0.5,1),"hh:mm"))),IF(EST!$P3=1,EST!F3,EST!G3))</f>
        <v>OFF</v>
      </c>
      <c r="H3" t="str">
        <f>IFERROR(_xlfn.LET(_xlpm.s,SUBSTITUTE(IF(EST!$P3=1,EST!G3,EST!H3)," ",""),IF(_xlpm.s="OFF","OFF",TEXT(MOD(TIMEVALUE(_xlfn.TEXTBEFORE(_xlpm.s,"-"))+0.5,1),"hh:mm")&amp;" - "&amp;TEXT(MOD(TIMEVALUE(_xlfn.TEXTAFTER(_xlpm.s,"-"))+0.5,1),"hh:mm"))),IF(EST!$P3=1,EST!G3,EST!H3))</f>
        <v>01:00 - 12:00</v>
      </c>
      <c r="I3" t="str">
        <f t="shared" ref="I3:I18" si="0">_xlfn.TEXTJOIN(" - ",TRUE,
IF(B3="OFF","Mon",""),
IF(C3="OFF","Tue",""),
IF(D3="OFF","Wed",""),
IF(E3="OFF","Thu",""),
IF(F3="OFF","Fri",""),
IF(G3="OFF","Sat",""),
IF(H3="OFF","Sun",""))</f>
        <v>Thu - Fri - Sat</v>
      </c>
      <c r="J3" s="38">
        <f>MOD(EST!J3+TIME(12,0,0),1)</f>
        <v>0.11458333333333348</v>
      </c>
      <c r="K3" s="38">
        <f>MOD(EST!K3+TIME(12,0,0),1)</f>
        <v>0.3125</v>
      </c>
      <c r="L3" s="38">
        <f>MOD(EST!L3+TIME(12,0,0),1)</f>
        <v>0.1875</v>
      </c>
      <c r="M3" s="38">
        <f>MOD(EST!M3+TIME(12,0,0),1)</f>
        <v>0.41666666666666652</v>
      </c>
      <c r="N3" t="str">
        <f>EST!N3</f>
        <v>Remmo Panaligan</v>
      </c>
    </row>
    <row r="4" spans="1:14" x14ac:dyDescent="0.3">
      <c r="A4" t="str">
        <f>EST!A4</f>
        <v>ANDREI MARK LLENOS</v>
      </c>
      <c r="B4" t="str">
        <f>IFERROR(_xlfn.LET(_xlpm.s,SUBSTITUTE(IF(EST!$P4=1,EST!H4,EST!B4)," ",""),IF(_xlpm.s="OFF","OFF",TEXT(MOD(TIMEVALUE(_xlfn.TEXTBEFORE(_xlpm.s,"-"))+0.5,1),"hh:mm")&amp;" - "&amp;TEXT(MOD(TIMEVALUE(_xlfn.TEXTAFTER(_xlpm.s,"-"))+0.5,1),"hh:mm"))),IF(EST!$P4=1,EST!H4,EST!B4))</f>
        <v>20:00 - 07:00</v>
      </c>
      <c r="C4" t="str">
        <f>IFERROR(_xlfn.LET(_xlpm.s,SUBSTITUTE(IF(EST!$P4=1,EST!B4,EST!C4)," ",""),IF(_xlpm.s="OFF","OFF",TEXT(MOD(TIMEVALUE(_xlfn.TEXTBEFORE(_xlpm.s,"-"))+0.5,1),"hh:mm")&amp;" - "&amp;TEXT(MOD(TIMEVALUE(_xlfn.TEXTAFTER(_xlpm.s,"-"))+0.5,1),"hh:mm"))),IF(EST!$P4=1,EST!B4,EST!C4))</f>
        <v>20:00 - 07:00</v>
      </c>
      <c r="D4" t="str">
        <f>IFERROR(_xlfn.LET(_xlpm.s,SUBSTITUTE(IF(EST!$P4=1,EST!C4,EST!D4)," ",""),IF(_xlpm.s="OFF","OFF",TEXT(MOD(TIMEVALUE(_xlfn.TEXTBEFORE(_xlpm.s,"-"))+0.5,1),"hh:mm")&amp;" - "&amp;TEXT(MOD(TIMEVALUE(_xlfn.TEXTAFTER(_xlpm.s,"-"))+0.5,1),"hh:mm"))),IF(EST!$P4=1,EST!C4,EST!D4))</f>
        <v>20:00 - 07:00</v>
      </c>
      <c r="E4" t="str">
        <f>IFERROR(_xlfn.LET(_xlpm.s,SUBSTITUTE(IF(EST!$P4=1,EST!D4,EST!E4)," ",""),IF(_xlpm.s="OFF","OFF",TEXT(MOD(TIMEVALUE(_xlfn.TEXTBEFORE(_xlpm.s,"-"))+0.5,1),"hh:mm")&amp;" - "&amp;TEXT(MOD(TIMEVALUE(_xlfn.TEXTAFTER(_xlpm.s,"-"))+0.5,1),"hh:mm"))),IF(EST!$P4=1,EST!D4,EST!E4))</f>
        <v>OFF</v>
      </c>
      <c r="F4" t="str">
        <f>IFERROR(_xlfn.LET(_xlpm.s,SUBSTITUTE(IF(EST!$P4=1,EST!E4,EST!F4)," ",""),IF(_xlpm.s="OFF","OFF",TEXT(MOD(TIMEVALUE(_xlfn.TEXTBEFORE(_xlpm.s,"-"))+0.5,1),"hh:mm")&amp;" - "&amp;TEXT(MOD(TIMEVALUE(_xlfn.TEXTAFTER(_xlpm.s,"-"))+0.5,1),"hh:mm"))),IF(EST!$P4=1,EST!E4,EST!F4))</f>
        <v>20:00 - 07:00</v>
      </c>
      <c r="G4" t="str">
        <f>IFERROR(_xlfn.LET(_xlpm.s,SUBSTITUTE(IF(EST!$P4=1,EST!F4,EST!G4)," ",""),IF(_xlpm.s="OFF","OFF",TEXT(MOD(TIMEVALUE(_xlfn.TEXTBEFORE(_xlpm.s,"-"))+0.5,1),"hh:mm")&amp;" - "&amp;TEXT(MOD(TIMEVALUE(_xlfn.TEXTAFTER(_xlpm.s,"-"))+0.5,1),"hh:mm"))),IF(EST!$P4=1,EST!F4,EST!G4))</f>
        <v>OFF</v>
      </c>
      <c r="H4" t="str">
        <f>IFERROR(_xlfn.LET(_xlpm.s,SUBSTITUTE(IF(EST!$P4=1,EST!G4,EST!H4)," ",""),IF(_xlpm.s="OFF","OFF",TEXT(MOD(TIMEVALUE(_xlfn.TEXTBEFORE(_xlpm.s,"-"))+0.5,1),"hh:mm")&amp;" - "&amp;TEXT(MOD(TIMEVALUE(_xlfn.TEXTAFTER(_xlpm.s,"-"))+0.5,1),"hh:mm"))),IF(EST!$P4=1,EST!G4,EST!H4))</f>
        <v>OFF</v>
      </c>
      <c r="I4" t="str">
        <f t="shared" si="0"/>
        <v>Thu - Sat - Sun</v>
      </c>
      <c r="J4" s="38">
        <f>MOD(EST!J4+TIME(12,0,0),1)</f>
        <v>0.89583333333333326</v>
      </c>
      <c r="K4" s="38">
        <f>MOD(EST!K4+TIME(12,0,0),1)</f>
        <v>0.10416666666666652</v>
      </c>
      <c r="L4" s="38">
        <f>MOD(EST!L4+TIME(12,0,0),1)</f>
        <v>0.97916666666666674</v>
      </c>
      <c r="M4" s="38">
        <f>MOD(EST!M4+TIME(12,0,0),1)</f>
        <v>0.23958333333333348</v>
      </c>
      <c r="N4" t="str">
        <f>EST!N4</f>
        <v>Manilyn Abellar</v>
      </c>
    </row>
    <row r="5" spans="1:14" x14ac:dyDescent="0.3">
      <c r="A5" t="str">
        <f>EST!A5</f>
        <v>ANTONIO AGDA</v>
      </c>
      <c r="B5" t="str">
        <f>IFERROR(_xlfn.LET(_xlpm.s,SUBSTITUTE(IF(EST!$P5=1,EST!H5,EST!B5)," ",""),IF(_xlpm.s="OFF","OFF",TEXT(MOD(TIMEVALUE(_xlfn.TEXTBEFORE(_xlpm.s,"-"))+0.5,1),"hh:mm")&amp;" - "&amp;TEXT(MOD(TIMEVALUE(_xlfn.TEXTAFTER(_xlpm.s,"-"))+0.5,1),"hh:mm"))),IF(EST!$P5=1,EST!H5,EST!B5))</f>
        <v>OFF</v>
      </c>
      <c r="C5" t="str">
        <f>IFERROR(_xlfn.LET(_xlpm.s,SUBSTITUTE(IF(EST!$P5=1,EST!B5,EST!C5)," ",""),IF(_xlpm.s="OFF","OFF",TEXT(MOD(TIMEVALUE(_xlfn.TEXTBEFORE(_xlpm.s,"-"))+0.5,1),"hh:mm")&amp;" - "&amp;TEXT(MOD(TIMEVALUE(_xlfn.TEXTAFTER(_xlpm.s,"-"))+0.5,1),"hh:mm"))),IF(EST!$P5=1,EST!B5,EST!C5))</f>
        <v>19:30 - 06:30</v>
      </c>
      <c r="D5" t="str">
        <f>IFERROR(_xlfn.LET(_xlpm.s,SUBSTITUTE(IF(EST!$P5=1,EST!C5,EST!D5)," ",""),IF(_xlpm.s="OFF","OFF",TEXT(MOD(TIMEVALUE(_xlfn.TEXTBEFORE(_xlpm.s,"-"))+0.5,1),"hh:mm")&amp;" - "&amp;TEXT(MOD(TIMEVALUE(_xlfn.TEXTAFTER(_xlpm.s,"-"))+0.5,1),"hh:mm"))),IF(EST!$P5=1,EST!C5,EST!D5))</f>
        <v>19:30 - 06:30</v>
      </c>
      <c r="E5" t="str">
        <f>IFERROR(_xlfn.LET(_xlpm.s,SUBSTITUTE(IF(EST!$P5=1,EST!D5,EST!E5)," ",""),IF(_xlpm.s="OFF","OFF",TEXT(MOD(TIMEVALUE(_xlfn.TEXTBEFORE(_xlpm.s,"-"))+0.5,1),"hh:mm")&amp;" - "&amp;TEXT(MOD(TIMEVALUE(_xlfn.TEXTAFTER(_xlpm.s,"-"))+0.5,1),"hh:mm"))),IF(EST!$P5=1,EST!D5,EST!E5))</f>
        <v>19:30 - 06:30</v>
      </c>
      <c r="F5" t="str">
        <f>IFERROR(_xlfn.LET(_xlpm.s,SUBSTITUTE(IF(EST!$P5=1,EST!E5,EST!F5)," ",""),IF(_xlpm.s="OFF","OFF",TEXT(MOD(TIMEVALUE(_xlfn.TEXTBEFORE(_xlpm.s,"-"))+0.5,1),"hh:mm")&amp;" - "&amp;TEXT(MOD(TIMEVALUE(_xlfn.TEXTAFTER(_xlpm.s,"-"))+0.5,1),"hh:mm"))),IF(EST!$P5=1,EST!E5,EST!F5))</f>
        <v>19:30 - 06:30</v>
      </c>
      <c r="G5" t="str">
        <f>IFERROR(_xlfn.LET(_xlpm.s,SUBSTITUTE(IF(EST!$P5=1,EST!F5,EST!G5)," ",""),IF(_xlpm.s="OFF","OFF",TEXT(MOD(TIMEVALUE(_xlfn.TEXTBEFORE(_xlpm.s,"-"))+0.5,1),"hh:mm")&amp;" - "&amp;TEXT(MOD(TIMEVALUE(_xlfn.TEXTAFTER(_xlpm.s,"-"))+0.5,1),"hh:mm"))),IF(EST!$P5=1,EST!F5,EST!G5))</f>
        <v>OFF</v>
      </c>
      <c r="H5" t="str">
        <f>IFERROR(_xlfn.LET(_xlpm.s,SUBSTITUTE(IF(EST!$P5=1,EST!G5,EST!H5)," ",""),IF(_xlpm.s="OFF","OFF",TEXT(MOD(TIMEVALUE(_xlfn.TEXTBEFORE(_xlpm.s,"-"))+0.5,1),"hh:mm")&amp;" - "&amp;TEXT(MOD(TIMEVALUE(_xlfn.TEXTAFTER(_xlpm.s,"-"))+0.5,1),"hh:mm"))),IF(EST!$P5=1,EST!G5,EST!H5))</f>
        <v>OFF</v>
      </c>
      <c r="I5" t="str">
        <f t="shared" si="0"/>
        <v>Mon - Sat - Sun</v>
      </c>
      <c r="J5" s="38">
        <f>MOD(EST!J5+TIME(12,0,0),1)</f>
        <v>0.88541666666666674</v>
      </c>
      <c r="K5" s="38">
        <f>MOD(EST!K5+TIME(12,0,0),1)</f>
        <v>0.11458333333333348</v>
      </c>
      <c r="L5" s="38">
        <f>MOD(EST!L5+TIME(12,0,0),1)</f>
        <v>0.96875</v>
      </c>
      <c r="M5" s="38">
        <f>MOD(EST!M5+TIME(12,0,0),1)</f>
        <v>0.21875</v>
      </c>
      <c r="N5" t="str">
        <f>EST!N5</f>
        <v>Manilyn Abellar</v>
      </c>
    </row>
    <row r="6" spans="1:14" x14ac:dyDescent="0.3">
      <c r="A6" t="str">
        <f>EST!A6</f>
        <v>AYSHA SAGIRA MACALANDONG</v>
      </c>
      <c r="B6" t="str">
        <f>IFERROR(_xlfn.LET(_xlpm.s,SUBSTITUTE(IF(EST!$P6=1,EST!H6,EST!B6)," ",""),IF(_xlpm.s="OFF","OFF",TEXT(MOD(TIMEVALUE(_xlfn.TEXTBEFORE(_xlpm.s,"-"))+0.5,1),"hh:mm")&amp;" - "&amp;TEXT(MOD(TIMEVALUE(_xlfn.TEXTAFTER(_xlpm.s,"-"))+0.5,1),"hh:mm"))),IF(EST!$P6=1,EST!H6,EST!B6))</f>
        <v>OFF</v>
      </c>
      <c r="C6" t="str">
        <f>IFERROR(_xlfn.LET(_xlpm.s,SUBSTITUTE(IF(EST!$P6=1,EST!B6,EST!C6)," ",""),IF(_xlpm.s="OFF","OFF",TEXT(MOD(TIMEVALUE(_xlfn.TEXTBEFORE(_xlpm.s,"-"))+0.5,1),"hh:mm")&amp;" - "&amp;TEXT(MOD(TIMEVALUE(_xlfn.TEXTAFTER(_xlpm.s,"-"))+0.5,1),"hh:mm"))),IF(EST!$P6=1,EST!B6,EST!C6))</f>
        <v>OFF</v>
      </c>
      <c r="D6" t="str">
        <f>IFERROR(_xlfn.LET(_xlpm.s,SUBSTITUTE(IF(EST!$P6=1,EST!C6,EST!D6)," ",""),IF(_xlpm.s="OFF","OFF",TEXT(MOD(TIMEVALUE(_xlfn.TEXTBEFORE(_xlpm.s,"-"))+0.5,1),"hh:mm")&amp;" - "&amp;TEXT(MOD(TIMEVALUE(_xlfn.TEXTAFTER(_xlpm.s,"-"))+0.5,1),"hh:mm"))),IF(EST!$P6=1,EST!C6,EST!D6))</f>
        <v>OFF</v>
      </c>
      <c r="E6" t="str">
        <f>IFERROR(_xlfn.LET(_xlpm.s,SUBSTITUTE(IF(EST!$P6=1,EST!D6,EST!E6)," ",""),IF(_xlpm.s="OFF","OFF",TEXT(MOD(TIMEVALUE(_xlfn.TEXTBEFORE(_xlpm.s,"-"))+0.5,1),"hh:mm")&amp;" - "&amp;TEXT(MOD(TIMEVALUE(_xlfn.TEXTAFTER(_xlpm.s,"-"))+0.5,1),"hh:mm"))),IF(EST!$P6=1,EST!D6,EST!E6))</f>
        <v>08:00 - 19:00</v>
      </c>
      <c r="F6" t="str">
        <f>IFERROR(_xlfn.LET(_xlpm.s,SUBSTITUTE(IF(EST!$P6=1,EST!E6,EST!F6)," ",""),IF(_xlpm.s="OFF","OFF",TEXT(MOD(TIMEVALUE(_xlfn.TEXTBEFORE(_xlpm.s,"-"))+0.5,1),"hh:mm")&amp;" - "&amp;TEXT(MOD(TIMEVALUE(_xlfn.TEXTAFTER(_xlpm.s,"-"))+0.5,1),"hh:mm"))),IF(EST!$P6=1,EST!E6,EST!F6))</f>
        <v>08:00 - 19:00</v>
      </c>
      <c r="G6" t="str">
        <f>IFERROR(_xlfn.LET(_xlpm.s,SUBSTITUTE(IF(EST!$P6=1,EST!F6,EST!G6)," ",""),IF(_xlpm.s="OFF","OFF",TEXT(MOD(TIMEVALUE(_xlfn.TEXTBEFORE(_xlpm.s,"-"))+0.5,1),"hh:mm")&amp;" - "&amp;TEXT(MOD(TIMEVALUE(_xlfn.TEXTAFTER(_xlpm.s,"-"))+0.5,1),"hh:mm"))),IF(EST!$P6=1,EST!F6,EST!G6))</f>
        <v>08:00 - 19:00</v>
      </c>
      <c r="H6" t="str">
        <f>IFERROR(_xlfn.LET(_xlpm.s,SUBSTITUTE(IF(EST!$P6=1,EST!G6,EST!H6)," ",""),IF(_xlpm.s="OFF","OFF",TEXT(MOD(TIMEVALUE(_xlfn.TEXTBEFORE(_xlpm.s,"-"))+0.5,1),"hh:mm")&amp;" - "&amp;TEXT(MOD(TIMEVALUE(_xlfn.TEXTAFTER(_xlpm.s,"-"))+0.5,1),"hh:mm"))),IF(EST!$P6=1,EST!G6,EST!H6))</f>
        <v>08:00 - 19:00</v>
      </c>
      <c r="I6" t="str">
        <f t="shared" si="0"/>
        <v>Mon - Tue - Wed</v>
      </c>
      <c r="J6" s="38">
        <f>MOD(EST!J6+TIME(12,0,0),1)</f>
        <v>0.42708333333333348</v>
      </c>
      <c r="K6" s="38">
        <f>MOD(EST!K6+TIME(12,0,0),1)</f>
        <v>0.51041666666666663</v>
      </c>
      <c r="L6" s="38">
        <f>MOD(EST!L6+TIME(12,0,0),1)</f>
        <v>0.6875</v>
      </c>
      <c r="M6" s="38">
        <f>MOD(EST!M6+TIME(12,0,0),1)</f>
        <v>0.60416666666666663</v>
      </c>
      <c r="N6" t="str">
        <f>EST!N6</f>
        <v>Michael Dominguez</v>
      </c>
    </row>
    <row r="7" spans="1:14" x14ac:dyDescent="0.3">
      <c r="A7" t="str">
        <f>EST!A7</f>
        <v>AZILEAN KHRISTA ALMAZAN</v>
      </c>
      <c r="B7" t="str">
        <f>IFERROR(_xlfn.LET(_xlpm.s,SUBSTITUTE(IF(EST!$P7=1,EST!H7,EST!B7)," ",""),IF(_xlpm.s="OFF","OFF",TEXT(MOD(TIMEVALUE(_xlfn.TEXTBEFORE(_xlpm.s,"-"))+0.5,1),"hh:mm")&amp;" - "&amp;TEXT(MOD(TIMEVALUE(_xlfn.TEXTAFTER(_xlpm.s,"-"))+0.5,1),"hh:mm"))),IF(EST!$P7=1,EST!H7,EST!B7))</f>
        <v>21:00 - 08:00</v>
      </c>
      <c r="C7" t="str">
        <f>IFERROR(_xlfn.LET(_xlpm.s,SUBSTITUTE(IF(EST!$P7=1,EST!B7,EST!C7)," ",""),IF(_xlpm.s="OFF","OFF",TEXT(MOD(TIMEVALUE(_xlfn.TEXTBEFORE(_xlpm.s,"-"))+0.5,1),"hh:mm")&amp;" - "&amp;TEXT(MOD(TIMEVALUE(_xlfn.TEXTAFTER(_xlpm.s,"-"))+0.5,1),"hh:mm"))),IF(EST!$P7=1,EST!B7,EST!C7))</f>
        <v>21:00 - 08:00</v>
      </c>
      <c r="D7" t="str">
        <f>IFERROR(_xlfn.LET(_xlpm.s,SUBSTITUTE(IF(EST!$P7=1,EST!C7,EST!D7)," ",""),IF(_xlpm.s="OFF","OFF",TEXT(MOD(TIMEVALUE(_xlfn.TEXTBEFORE(_xlpm.s,"-"))+0.5,1),"hh:mm")&amp;" - "&amp;TEXT(MOD(TIMEVALUE(_xlfn.TEXTAFTER(_xlpm.s,"-"))+0.5,1),"hh:mm"))),IF(EST!$P7=1,EST!C7,EST!D7))</f>
        <v>OFF</v>
      </c>
      <c r="E7" t="str">
        <f>IFERROR(_xlfn.LET(_xlpm.s,SUBSTITUTE(IF(EST!$P7=1,EST!D7,EST!E7)," ",""),IF(_xlpm.s="OFF","OFF",TEXT(MOD(TIMEVALUE(_xlfn.TEXTBEFORE(_xlpm.s,"-"))+0.5,1),"hh:mm")&amp;" - "&amp;TEXT(MOD(TIMEVALUE(_xlfn.TEXTAFTER(_xlpm.s,"-"))+0.5,1),"hh:mm"))),IF(EST!$P7=1,EST!D7,EST!E7))</f>
        <v>OFF</v>
      </c>
      <c r="F7" t="str">
        <f>IFERROR(_xlfn.LET(_xlpm.s,SUBSTITUTE(IF(EST!$P7=1,EST!E7,EST!F7)," ",""),IF(_xlpm.s="OFF","OFF",TEXT(MOD(TIMEVALUE(_xlfn.TEXTBEFORE(_xlpm.s,"-"))+0.5,1),"hh:mm")&amp;" - "&amp;TEXT(MOD(TIMEVALUE(_xlfn.TEXTAFTER(_xlpm.s,"-"))+0.5,1),"hh:mm"))),IF(EST!$P7=1,EST!E7,EST!F7))</f>
        <v>21:00 - 08:00</v>
      </c>
      <c r="G7" t="str">
        <f>IFERROR(_xlfn.LET(_xlpm.s,SUBSTITUTE(IF(EST!$P7=1,EST!F7,EST!G7)," ",""),IF(_xlpm.s="OFF","OFF",TEXT(MOD(TIMEVALUE(_xlfn.TEXTBEFORE(_xlpm.s,"-"))+0.5,1),"hh:mm")&amp;" - "&amp;TEXT(MOD(TIMEVALUE(_xlfn.TEXTAFTER(_xlpm.s,"-"))+0.5,1),"hh:mm"))),IF(EST!$P7=1,EST!F7,EST!G7))</f>
        <v>21:00 - 08:00</v>
      </c>
      <c r="H7" t="str">
        <f>IFERROR(_xlfn.LET(_xlpm.s,SUBSTITUTE(IF(EST!$P7=1,EST!G7,EST!H7)," ",""),IF(_xlpm.s="OFF","OFF",TEXT(MOD(TIMEVALUE(_xlfn.TEXTBEFORE(_xlpm.s,"-"))+0.5,1),"hh:mm")&amp;" - "&amp;TEXT(MOD(TIMEVALUE(_xlfn.TEXTAFTER(_xlpm.s,"-"))+0.5,1),"hh:mm"))),IF(EST!$P7=1,EST!G7,EST!H7))</f>
        <v>OFF</v>
      </c>
      <c r="I7" t="str">
        <f t="shared" si="0"/>
        <v>Wed - Thu - Sun</v>
      </c>
      <c r="J7" s="38">
        <f>MOD(EST!J7+TIME(12,0,0),1)</f>
        <v>0.95833333333333326</v>
      </c>
      <c r="K7" s="38">
        <f>MOD(EST!K7+TIME(12,0,0),1)</f>
        <v>5.2083333333333481E-2</v>
      </c>
      <c r="L7" s="38">
        <f>MOD(EST!L7+TIME(12,0,0),1)</f>
        <v>0.1875</v>
      </c>
      <c r="M7" s="38">
        <f>MOD(EST!M7+TIME(12,0,0),1)</f>
        <v>0.28125</v>
      </c>
      <c r="N7" t="str">
        <f>EST!N7</f>
        <v>Anmecha Valencia</v>
      </c>
    </row>
    <row r="8" spans="1:14" x14ac:dyDescent="0.3">
      <c r="A8" t="str">
        <f>EST!A8</f>
        <v>BENEDICT ERMITANO</v>
      </c>
      <c r="B8" t="str">
        <f>IFERROR(_xlfn.LET(_xlpm.s,SUBSTITUTE(IF(EST!$P8=1,EST!H8,EST!B8)," ",""),IF(_xlpm.s="OFF","OFF",TEXT(MOD(TIMEVALUE(_xlfn.TEXTBEFORE(_xlpm.s,"-"))+0.5,1),"hh:mm")&amp;" - "&amp;TEXT(MOD(TIMEVALUE(_xlfn.TEXTAFTER(_xlpm.s,"-"))+0.5,1),"hh:mm"))),IF(EST!$P8=1,EST!H8,EST!B8))</f>
        <v>OFF</v>
      </c>
      <c r="C8" t="str">
        <f>IFERROR(_xlfn.LET(_xlpm.s,SUBSTITUTE(IF(EST!$P8=1,EST!B8,EST!C8)," ",""),IF(_xlpm.s="OFF","OFF",TEXT(MOD(TIMEVALUE(_xlfn.TEXTBEFORE(_xlpm.s,"-"))+0.5,1),"hh:mm")&amp;" - "&amp;TEXT(MOD(TIMEVALUE(_xlfn.TEXTAFTER(_xlpm.s,"-"))+0.5,1),"hh:mm"))),IF(EST!$P8=1,EST!B8,EST!C8))</f>
        <v>21:00 - 08:00</v>
      </c>
      <c r="D8" t="str">
        <f>IFERROR(_xlfn.LET(_xlpm.s,SUBSTITUTE(IF(EST!$P8=1,EST!C8,EST!D8)," ",""),IF(_xlpm.s="OFF","OFF",TEXT(MOD(TIMEVALUE(_xlfn.TEXTBEFORE(_xlpm.s,"-"))+0.5,1),"hh:mm")&amp;" - "&amp;TEXT(MOD(TIMEVALUE(_xlfn.TEXTAFTER(_xlpm.s,"-"))+0.5,1),"hh:mm"))),IF(EST!$P8=1,EST!C8,EST!D8))</f>
        <v>21:00 - 08:00</v>
      </c>
      <c r="E8" t="str">
        <f>IFERROR(_xlfn.LET(_xlpm.s,SUBSTITUTE(IF(EST!$P8=1,EST!D8,EST!E8)," ",""),IF(_xlpm.s="OFF","OFF",TEXT(MOD(TIMEVALUE(_xlfn.TEXTBEFORE(_xlpm.s,"-"))+0.5,1),"hh:mm")&amp;" - "&amp;TEXT(MOD(TIMEVALUE(_xlfn.TEXTAFTER(_xlpm.s,"-"))+0.5,1),"hh:mm"))),IF(EST!$P8=1,EST!D8,EST!E8))</f>
        <v>21:00 - 08:00</v>
      </c>
      <c r="F8" t="str">
        <f>IFERROR(_xlfn.LET(_xlpm.s,SUBSTITUTE(IF(EST!$P8=1,EST!E8,EST!F8)," ",""),IF(_xlpm.s="OFF","OFF",TEXT(MOD(TIMEVALUE(_xlfn.TEXTBEFORE(_xlpm.s,"-"))+0.5,1),"hh:mm")&amp;" - "&amp;TEXT(MOD(TIMEVALUE(_xlfn.TEXTAFTER(_xlpm.s,"-"))+0.5,1),"hh:mm"))),IF(EST!$P8=1,EST!E8,EST!F8))</f>
        <v>OFF</v>
      </c>
      <c r="G8" t="str">
        <f>IFERROR(_xlfn.LET(_xlpm.s,SUBSTITUTE(IF(EST!$P8=1,EST!F8,EST!G8)," ",""),IF(_xlpm.s="OFF","OFF",TEXT(MOD(TIMEVALUE(_xlfn.TEXTBEFORE(_xlpm.s,"-"))+0.5,1),"hh:mm")&amp;" - "&amp;TEXT(MOD(TIMEVALUE(_xlfn.TEXTAFTER(_xlpm.s,"-"))+0.5,1),"hh:mm"))),IF(EST!$P8=1,EST!F8,EST!G8))</f>
        <v>21:00 - 08:00</v>
      </c>
      <c r="H8" t="str">
        <f>IFERROR(_xlfn.LET(_xlpm.s,SUBSTITUTE(IF(EST!$P8=1,EST!G8,EST!H8)," ",""),IF(_xlpm.s="OFF","OFF",TEXT(MOD(TIMEVALUE(_xlfn.TEXTBEFORE(_xlpm.s,"-"))+0.5,1),"hh:mm")&amp;" - "&amp;TEXT(MOD(TIMEVALUE(_xlfn.TEXTAFTER(_xlpm.s,"-"))+0.5,1),"hh:mm"))),IF(EST!$P8=1,EST!G8,EST!H8))</f>
        <v>OFF</v>
      </c>
      <c r="I8" t="str">
        <f t="shared" si="0"/>
        <v>Mon - Fri - Sun</v>
      </c>
      <c r="J8" s="38">
        <f>MOD(EST!J8+TIME(12,0,0),1)</f>
        <v>0.97916666666666674</v>
      </c>
      <c r="K8" s="38">
        <f>MOD(EST!K8+TIME(12,0,0),1)</f>
        <v>0.125</v>
      </c>
      <c r="L8" s="38">
        <f>MOD(EST!L8+TIME(12,0,0),1)</f>
        <v>5.2083333333333481E-2</v>
      </c>
      <c r="M8" s="38">
        <f>MOD(EST!M8+TIME(12,0,0),1)</f>
        <v>0.27083333333333348</v>
      </c>
      <c r="N8" t="str">
        <f>EST!N8</f>
        <v>Michael Dominguez</v>
      </c>
    </row>
    <row r="9" spans="1:14" x14ac:dyDescent="0.3">
      <c r="A9" t="str">
        <f>EST!A9</f>
        <v>CARLOS JR. KIAMCO</v>
      </c>
      <c r="B9" t="str">
        <f>IFERROR(_xlfn.LET(_xlpm.s,SUBSTITUTE(IF(EST!$P9=1,EST!H9,EST!B9)," ",""),IF(_xlpm.s="OFF","OFF",TEXT(MOD(TIMEVALUE(_xlfn.TEXTBEFORE(_xlpm.s,"-"))+0.5,1),"hh:mm")&amp;" - "&amp;TEXT(MOD(TIMEVALUE(_xlfn.TEXTAFTER(_xlpm.s,"-"))+0.5,1),"hh:mm"))),IF(EST!$P9=1,EST!H9,EST!B9))</f>
        <v>21:00 - 08:00</v>
      </c>
      <c r="C9" t="str">
        <f>IFERROR(_xlfn.LET(_xlpm.s,SUBSTITUTE(IF(EST!$P9=1,EST!B9,EST!C9)," ",""),IF(_xlpm.s="OFF","OFF",TEXT(MOD(TIMEVALUE(_xlfn.TEXTBEFORE(_xlpm.s,"-"))+0.5,1),"hh:mm")&amp;" - "&amp;TEXT(MOD(TIMEVALUE(_xlfn.TEXTAFTER(_xlpm.s,"-"))+0.5,1),"hh:mm"))),IF(EST!$P9=1,EST!B9,EST!C9))</f>
        <v>21:00 - 08:00</v>
      </c>
      <c r="D9" t="str">
        <f>IFERROR(_xlfn.LET(_xlpm.s,SUBSTITUTE(IF(EST!$P9=1,EST!C9,EST!D9)," ",""),IF(_xlpm.s="OFF","OFF",TEXT(MOD(TIMEVALUE(_xlfn.TEXTBEFORE(_xlpm.s,"-"))+0.5,1),"hh:mm")&amp;" - "&amp;TEXT(MOD(TIMEVALUE(_xlfn.TEXTAFTER(_xlpm.s,"-"))+0.5,1),"hh:mm"))),IF(EST!$P9=1,EST!C9,EST!D9))</f>
        <v>OFF</v>
      </c>
      <c r="E9" t="str">
        <f>IFERROR(_xlfn.LET(_xlpm.s,SUBSTITUTE(IF(EST!$P9=1,EST!D9,EST!E9)," ",""),IF(_xlpm.s="OFF","OFF",TEXT(MOD(TIMEVALUE(_xlfn.TEXTBEFORE(_xlpm.s,"-"))+0.5,1),"hh:mm")&amp;" - "&amp;TEXT(MOD(TIMEVALUE(_xlfn.TEXTAFTER(_xlpm.s,"-"))+0.5,1),"hh:mm"))),IF(EST!$P9=1,EST!D9,EST!E9))</f>
        <v>OFF</v>
      </c>
      <c r="F9" t="str">
        <f>IFERROR(_xlfn.LET(_xlpm.s,SUBSTITUTE(IF(EST!$P9=1,EST!E9,EST!F9)," ",""),IF(_xlpm.s="OFF","OFF",TEXT(MOD(TIMEVALUE(_xlfn.TEXTBEFORE(_xlpm.s,"-"))+0.5,1),"hh:mm")&amp;" - "&amp;TEXT(MOD(TIMEVALUE(_xlfn.TEXTAFTER(_xlpm.s,"-"))+0.5,1),"hh:mm"))),IF(EST!$P9=1,EST!E9,EST!F9))</f>
        <v>OFF</v>
      </c>
      <c r="G9" t="str">
        <f>IFERROR(_xlfn.LET(_xlpm.s,SUBSTITUTE(IF(EST!$P9=1,EST!F9,EST!G9)," ",""),IF(_xlpm.s="OFF","OFF",TEXT(MOD(TIMEVALUE(_xlfn.TEXTBEFORE(_xlpm.s,"-"))+0.5,1),"hh:mm")&amp;" - "&amp;TEXT(MOD(TIMEVALUE(_xlfn.TEXTAFTER(_xlpm.s,"-"))+0.5,1),"hh:mm"))),IF(EST!$P9=1,EST!F9,EST!G9))</f>
        <v>21:00 - 08:00</v>
      </c>
      <c r="H9" t="str">
        <f>IFERROR(_xlfn.LET(_xlpm.s,SUBSTITUTE(IF(EST!$P9=1,EST!G9,EST!H9)," ",""),IF(_xlpm.s="OFF","OFF",TEXT(MOD(TIMEVALUE(_xlfn.TEXTBEFORE(_xlpm.s,"-"))+0.5,1),"hh:mm")&amp;" - "&amp;TEXT(MOD(TIMEVALUE(_xlfn.TEXTAFTER(_xlpm.s,"-"))+0.5,1),"hh:mm"))),IF(EST!$P9=1,EST!G9,EST!H9))</f>
        <v>21:00 - 08:00</v>
      </c>
      <c r="I9" t="str">
        <f t="shared" si="0"/>
        <v>Wed - Thu - Fri</v>
      </c>
      <c r="J9" s="38">
        <f>MOD(EST!J9+TIME(12,0,0),1)</f>
        <v>8.3333333333333481E-2</v>
      </c>
      <c r="K9" s="38">
        <f>MOD(EST!K9+TIME(12,0,0),1)</f>
        <v>0.17708333333333348</v>
      </c>
      <c r="L9" s="38">
        <f>MOD(EST!L9+TIME(12,0,0),1)</f>
        <v>0.95833333333333326</v>
      </c>
      <c r="M9" s="38">
        <f>MOD(EST!M9+TIME(12,0,0),1)</f>
        <v>0.27083333333333348</v>
      </c>
      <c r="N9" t="str">
        <f>EST!N9</f>
        <v>Christopher Rodas</v>
      </c>
    </row>
    <row r="10" spans="1:14" x14ac:dyDescent="0.3">
      <c r="A10" t="str">
        <f>EST!A10</f>
        <v>CHARISSE CAPUNO</v>
      </c>
      <c r="B10" t="str">
        <f>IFERROR(_xlfn.LET(_xlpm.s,SUBSTITUTE(IF(EST!$P10=1,EST!H10,EST!B10)," ",""),IF(_xlpm.s="OFF","OFF",TEXT(MOD(TIMEVALUE(_xlfn.TEXTBEFORE(_xlpm.s,"-"))+0.5,1),"hh:mm")&amp;" - "&amp;TEXT(MOD(TIMEVALUE(_xlfn.TEXTAFTER(_xlpm.s,"-"))+0.5,1),"hh:mm"))),IF(EST!$P10=1,EST!H10,EST!B10))</f>
        <v>21:00 - 08:00</v>
      </c>
      <c r="C10" t="str">
        <f>IFERROR(_xlfn.LET(_xlpm.s,SUBSTITUTE(IF(EST!$P10=1,EST!B10,EST!C10)," ",""),IF(_xlpm.s="OFF","OFF",TEXT(MOD(TIMEVALUE(_xlfn.TEXTBEFORE(_xlpm.s,"-"))+0.5,1),"hh:mm")&amp;" - "&amp;TEXT(MOD(TIMEVALUE(_xlfn.TEXTAFTER(_xlpm.s,"-"))+0.5,1),"hh:mm"))),IF(EST!$P10=1,EST!B10,EST!C10))</f>
        <v>OFF</v>
      </c>
      <c r="D10" t="str">
        <f>IFERROR(_xlfn.LET(_xlpm.s,SUBSTITUTE(IF(EST!$P10=1,EST!C10,EST!D10)," ",""),IF(_xlpm.s="OFF","OFF",TEXT(MOD(TIMEVALUE(_xlfn.TEXTBEFORE(_xlpm.s,"-"))+0.5,1),"hh:mm")&amp;" - "&amp;TEXT(MOD(TIMEVALUE(_xlfn.TEXTAFTER(_xlpm.s,"-"))+0.5,1),"hh:mm"))),IF(EST!$P10=1,EST!C10,EST!D10))</f>
        <v>21:00 - 08:00</v>
      </c>
      <c r="E10" t="str">
        <f>IFERROR(_xlfn.LET(_xlpm.s,SUBSTITUTE(IF(EST!$P10=1,EST!D10,EST!E10)," ",""),IF(_xlpm.s="OFF","OFF",TEXT(MOD(TIMEVALUE(_xlfn.TEXTBEFORE(_xlpm.s,"-"))+0.5,1),"hh:mm")&amp;" - "&amp;TEXT(MOD(TIMEVALUE(_xlfn.TEXTAFTER(_xlpm.s,"-"))+0.5,1),"hh:mm"))),IF(EST!$P10=1,EST!D10,EST!E10))</f>
        <v>21:00 - 08:00</v>
      </c>
      <c r="F10" t="str">
        <f>IFERROR(_xlfn.LET(_xlpm.s,SUBSTITUTE(IF(EST!$P10=1,EST!E10,EST!F10)," ",""),IF(_xlpm.s="OFF","OFF",TEXT(MOD(TIMEVALUE(_xlfn.TEXTBEFORE(_xlpm.s,"-"))+0.5,1),"hh:mm")&amp;" - "&amp;TEXT(MOD(TIMEVALUE(_xlfn.TEXTAFTER(_xlpm.s,"-"))+0.5,1),"hh:mm"))),IF(EST!$P10=1,EST!E10,EST!F10))</f>
        <v>21:00 - 08:00</v>
      </c>
      <c r="G10" t="str">
        <f>IFERROR(_xlfn.LET(_xlpm.s,SUBSTITUTE(IF(EST!$P10=1,EST!F10,EST!G10)," ",""),IF(_xlpm.s="OFF","OFF",TEXT(MOD(TIMEVALUE(_xlfn.TEXTBEFORE(_xlpm.s,"-"))+0.5,1),"hh:mm")&amp;" - "&amp;TEXT(MOD(TIMEVALUE(_xlfn.TEXTAFTER(_xlpm.s,"-"))+0.5,1),"hh:mm"))),IF(EST!$P10=1,EST!F10,EST!G10))</f>
        <v>OFF</v>
      </c>
      <c r="H10" t="str">
        <f>IFERROR(_xlfn.LET(_xlpm.s,SUBSTITUTE(IF(EST!$P10=1,EST!G10,EST!H10)," ",""),IF(_xlpm.s="OFF","OFF",TEXT(MOD(TIMEVALUE(_xlfn.TEXTBEFORE(_xlpm.s,"-"))+0.5,1),"hh:mm")&amp;" - "&amp;TEXT(MOD(TIMEVALUE(_xlfn.TEXTAFTER(_xlpm.s,"-"))+0.5,1),"hh:mm"))),IF(EST!$P10=1,EST!G10,EST!H10))</f>
        <v>OFF</v>
      </c>
      <c r="I10" t="str">
        <f t="shared" si="0"/>
        <v>Tue - Sat - Sun</v>
      </c>
      <c r="J10" s="38">
        <f>MOD(EST!J10+TIME(12,0,0),1)</f>
        <v>0.96875</v>
      </c>
      <c r="K10" s="38">
        <f>MOD(EST!K10+TIME(12,0,0),1)</f>
        <v>6.25E-2</v>
      </c>
      <c r="L10" s="38">
        <f>MOD(EST!L10+TIME(12,0,0),1)</f>
        <v>0.25</v>
      </c>
      <c r="M10" s="38">
        <f>MOD(EST!M10+TIME(12,0,0),1)</f>
        <v>0.15625</v>
      </c>
      <c r="N10" t="str">
        <f>EST!N10</f>
        <v>Anmecha Valencia</v>
      </c>
    </row>
    <row r="11" spans="1:14" x14ac:dyDescent="0.3">
      <c r="A11" t="str">
        <f>EST!A11</f>
        <v>CHRIS PAUL DALUT</v>
      </c>
      <c r="B11" t="str">
        <f>IFERROR(_xlfn.LET(_xlpm.s,SUBSTITUTE(IF(EST!$P11=1,EST!H11,EST!B11)," ",""),IF(_xlpm.s="OFF","OFF",TEXT(MOD(TIMEVALUE(_xlfn.TEXTBEFORE(_xlpm.s,"-"))+0.5,1),"hh:mm")&amp;" - "&amp;TEXT(MOD(TIMEVALUE(_xlfn.TEXTAFTER(_xlpm.s,"-"))+0.5,1),"hh:mm"))),IF(EST!$P11=1,EST!H11,EST!B11))</f>
        <v>OFF</v>
      </c>
      <c r="C11" t="str">
        <f>IFERROR(_xlfn.LET(_xlpm.s,SUBSTITUTE(IF(EST!$P11=1,EST!B11,EST!C11)," ",""),IF(_xlpm.s="OFF","OFF",TEXT(MOD(TIMEVALUE(_xlfn.TEXTBEFORE(_xlpm.s,"-"))+0.5,1),"hh:mm")&amp;" - "&amp;TEXT(MOD(TIMEVALUE(_xlfn.TEXTAFTER(_xlpm.s,"-"))+0.5,1),"hh:mm"))),IF(EST!$P11=1,EST!B11,EST!C11))</f>
        <v>15:00 - 02:00</v>
      </c>
      <c r="D11" t="str">
        <f>IFERROR(_xlfn.LET(_xlpm.s,SUBSTITUTE(IF(EST!$P11=1,EST!C11,EST!D11)," ",""),IF(_xlpm.s="OFF","OFF",TEXT(MOD(TIMEVALUE(_xlfn.TEXTBEFORE(_xlpm.s,"-"))+0.5,1),"hh:mm")&amp;" - "&amp;TEXT(MOD(TIMEVALUE(_xlfn.TEXTAFTER(_xlpm.s,"-"))+0.5,1),"hh:mm"))),IF(EST!$P11=1,EST!C11,EST!D11))</f>
        <v>15:00 - 02:00</v>
      </c>
      <c r="E11" t="str">
        <f>IFERROR(_xlfn.LET(_xlpm.s,SUBSTITUTE(IF(EST!$P11=1,EST!D11,EST!E11)," ",""),IF(_xlpm.s="OFF","OFF",TEXT(MOD(TIMEVALUE(_xlfn.TEXTBEFORE(_xlpm.s,"-"))+0.5,1),"hh:mm")&amp;" - "&amp;TEXT(MOD(TIMEVALUE(_xlfn.TEXTAFTER(_xlpm.s,"-"))+0.5,1),"hh:mm"))),IF(EST!$P11=1,EST!D11,EST!E11))</f>
        <v>OFF</v>
      </c>
      <c r="F11" t="str">
        <f>IFERROR(_xlfn.LET(_xlpm.s,SUBSTITUTE(IF(EST!$P11=1,EST!E11,EST!F11)," ",""),IF(_xlpm.s="OFF","OFF",TEXT(MOD(TIMEVALUE(_xlfn.TEXTBEFORE(_xlpm.s,"-"))+0.5,1),"hh:mm")&amp;" - "&amp;TEXT(MOD(TIMEVALUE(_xlfn.TEXTAFTER(_xlpm.s,"-"))+0.5,1),"hh:mm"))),IF(EST!$P11=1,EST!E11,EST!F11))</f>
        <v>15:00 - 02:00</v>
      </c>
      <c r="G11" t="str">
        <f>IFERROR(_xlfn.LET(_xlpm.s,SUBSTITUTE(IF(EST!$P11=1,EST!F11,EST!G11)," ",""),IF(_xlpm.s="OFF","OFF",TEXT(MOD(TIMEVALUE(_xlfn.TEXTBEFORE(_xlpm.s,"-"))+0.5,1),"hh:mm")&amp;" - "&amp;TEXT(MOD(TIMEVALUE(_xlfn.TEXTAFTER(_xlpm.s,"-"))+0.5,1),"hh:mm"))),IF(EST!$P11=1,EST!F11,EST!G11))</f>
        <v>15:00 - 02:00</v>
      </c>
      <c r="H11" t="str">
        <f>IFERROR(_xlfn.LET(_xlpm.s,SUBSTITUTE(IF(EST!$P11=1,EST!G11,EST!H11)," ",""),IF(_xlpm.s="OFF","OFF",TEXT(MOD(TIMEVALUE(_xlfn.TEXTBEFORE(_xlpm.s,"-"))+0.5,1),"hh:mm")&amp;" - "&amp;TEXT(MOD(TIMEVALUE(_xlfn.TEXTAFTER(_xlpm.s,"-"))+0.5,1),"hh:mm"))),IF(EST!$P11=1,EST!G11,EST!H11))</f>
        <v>OFF</v>
      </c>
      <c r="I11" t="str">
        <f t="shared" si="0"/>
        <v>Mon - Thu - Sun</v>
      </c>
      <c r="J11" s="38">
        <f>MOD(EST!J11+TIME(12,0,0),1)</f>
        <v>0.69791666666666663</v>
      </c>
      <c r="K11" s="38">
        <f>MOD(EST!K11+TIME(12,0,0),1)</f>
        <v>0.9375</v>
      </c>
      <c r="L11" s="38">
        <f>MOD(EST!L11+TIME(12,0,0),1)</f>
        <v>0.8125</v>
      </c>
      <c r="M11" s="38">
        <f>MOD(EST!M11+TIME(12,0,0),1)</f>
        <v>4.1666666666666519E-2</v>
      </c>
      <c r="N11" t="str">
        <f>EST!N11</f>
        <v>Anmecha Valencia</v>
      </c>
    </row>
    <row r="12" spans="1:14" x14ac:dyDescent="0.3">
      <c r="A12" t="str">
        <f>EST!A12</f>
        <v>CHRISTIAN LAJERA</v>
      </c>
      <c r="B12" t="str">
        <f>IFERROR(_xlfn.LET(_xlpm.s,SUBSTITUTE(IF(EST!$P12=1,EST!H12,EST!B12)," ",""),IF(_xlpm.s="OFF","OFF",TEXT(MOD(TIMEVALUE(_xlfn.TEXTBEFORE(_xlpm.s,"-"))+0.5,1),"hh:mm")&amp;" - "&amp;TEXT(MOD(TIMEVALUE(_xlfn.TEXTAFTER(_xlpm.s,"-"))+0.5,1),"hh:mm"))),IF(EST!$P12=1,EST!H12,EST!B12))</f>
        <v>OFF</v>
      </c>
      <c r="C12" t="str">
        <f>IFERROR(_xlfn.LET(_xlpm.s,SUBSTITUTE(IF(EST!$P12=1,EST!B12,EST!C12)," ",""),IF(_xlpm.s="OFF","OFF",TEXT(MOD(TIMEVALUE(_xlfn.TEXTBEFORE(_xlpm.s,"-"))+0.5,1),"hh:mm")&amp;" - "&amp;TEXT(MOD(TIMEVALUE(_xlfn.TEXTAFTER(_xlpm.s,"-"))+0.5,1),"hh:mm"))),IF(EST!$P12=1,EST!B12,EST!C12))</f>
        <v>21:00 - 08:00</v>
      </c>
      <c r="D12" t="str">
        <f>IFERROR(_xlfn.LET(_xlpm.s,SUBSTITUTE(IF(EST!$P12=1,EST!C12,EST!D12)," ",""),IF(_xlpm.s="OFF","OFF",TEXT(MOD(TIMEVALUE(_xlfn.TEXTBEFORE(_xlpm.s,"-"))+0.5,1),"hh:mm")&amp;" - "&amp;TEXT(MOD(TIMEVALUE(_xlfn.TEXTAFTER(_xlpm.s,"-"))+0.5,1),"hh:mm"))),IF(EST!$P12=1,EST!C12,EST!D12))</f>
        <v>21:00 - 08:00</v>
      </c>
      <c r="E12" t="str">
        <f>IFERROR(_xlfn.LET(_xlpm.s,SUBSTITUTE(IF(EST!$P12=1,EST!D12,EST!E12)," ",""),IF(_xlpm.s="OFF","OFF",TEXT(MOD(TIMEVALUE(_xlfn.TEXTBEFORE(_xlpm.s,"-"))+0.5,1),"hh:mm")&amp;" - "&amp;TEXT(MOD(TIMEVALUE(_xlfn.TEXTAFTER(_xlpm.s,"-"))+0.5,1),"hh:mm"))),IF(EST!$P12=1,EST!D12,EST!E12))</f>
        <v>21:00 - 08:00</v>
      </c>
      <c r="F12" t="str">
        <f>IFERROR(_xlfn.LET(_xlpm.s,SUBSTITUTE(IF(EST!$P12=1,EST!E12,EST!F12)," ",""),IF(_xlpm.s="OFF","OFF",TEXT(MOD(TIMEVALUE(_xlfn.TEXTBEFORE(_xlpm.s,"-"))+0.5,1),"hh:mm")&amp;" - "&amp;TEXT(MOD(TIMEVALUE(_xlfn.TEXTAFTER(_xlpm.s,"-"))+0.5,1),"hh:mm"))),IF(EST!$P12=1,EST!E12,EST!F12))</f>
        <v>21:00 - 08:00</v>
      </c>
      <c r="G12" t="str">
        <f>IFERROR(_xlfn.LET(_xlpm.s,SUBSTITUTE(IF(EST!$P12=1,EST!F12,EST!G12)," ",""),IF(_xlpm.s="OFF","OFF",TEXT(MOD(TIMEVALUE(_xlfn.TEXTBEFORE(_xlpm.s,"-"))+0.5,1),"hh:mm")&amp;" - "&amp;TEXT(MOD(TIMEVALUE(_xlfn.TEXTAFTER(_xlpm.s,"-"))+0.5,1),"hh:mm"))),IF(EST!$P12=1,EST!F12,EST!G12))</f>
        <v>OFF</v>
      </c>
      <c r="H12" t="str">
        <f>IFERROR(_xlfn.LET(_xlpm.s,SUBSTITUTE(IF(EST!$P12=1,EST!G12,EST!H12)," ",""),IF(_xlpm.s="OFF","OFF",TEXT(MOD(TIMEVALUE(_xlfn.TEXTBEFORE(_xlpm.s,"-"))+0.5,1),"hh:mm")&amp;" - "&amp;TEXT(MOD(TIMEVALUE(_xlfn.TEXTAFTER(_xlpm.s,"-"))+0.5,1),"hh:mm"))),IF(EST!$P12=1,EST!G12,EST!H12))</f>
        <v>OFF</v>
      </c>
      <c r="I12" t="str">
        <f t="shared" si="0"/>
        <v>Mon - Sat - Sun</v>
      </c>
      <c r="J12" s="38">
        <f>MOD(EST!J12+TIME(12,0,0),1)</f>
        <v>0.95833333333333326</v>
      </c>
      <c r="K12" s="38">
        <f>MOD(EST!K12+TIME(12,0,0),1)</f>
        <v>4.1666666666666519E-2</v>
      </c>
      <c r="L12" s="38">
        <f>MOD(EST!L12+TIME(12,0,0),1)</f>
        <v>0.14583333333333348</v>
      </c>
      <c r="M12" s="38">
        <f>MOD(EST!M12+TIME(12,0,0),1)</f>
        <v>0.26041666666666652</v>
      </c>
      <c r="N12" t="str">
        <f>EST!N12</f>
        <v>Michael Dominguez</v>
      </c>
    </row>
    <row r="13" spans="1:14" x14ac:dyDescent="0.3">
      <c r="A13" t="str">
        <f>EST!A13</f>
        <v>CLEENDY CERILLA</v>
      </c>
      <c r="B13" t="str">
        <f>IFERROR(_xlfn.LET(_xlpm.s,SUBSTITUTE(IF(EST!$P13=1,EST!H13,EST!B13)," ",""),IF(_xlpm.s="OFF","OFF",TEXT(MOD(TIMEVALUE(_xlfn.TEXTBEFORE(_xlpm.s,"-"))+0.5,1),"hh:mm")&amp;" - "&amp;TEXT(MOD(TIMEVALUE(_xlfn.TEXTAFTER(_xlpm.s,"-"))+0.5,1),"hh:mm"))),IF(EST!$P13=1,EST!H13,EST!B13))</f>
        <v>OFF</v>
      </c>
      <c r="C13" t="str">
        <f>IFERROR(_xlfn.LET(_xlpm.s,SUBSTITUTE(IF(EST!$P13=1,EST!B13,EST!C13)," ",""),IF(_xlpm.s="OFF","OFF",TEXT(MOD(TIMEVALUE(_xlfn.TEXTBEFORE(_xlpm.s,"-"))+0.5,1),"hh:mm")&amp;" - "&amp;TEXT(MOD(TIMEVALUE(_xlfn.TEXTAFTER(_xlpm.s,"-"))+0.5,1),"hh:mm"))),IF(EST!$P13=1,EST!B13,EST!C13))</f>
        <v>19:30 - 06:30</v>
      </c>
      <c r="D13" t="str">
        <f>IFERROR(_xlfn.LET(_xlpm.s,SUBSTITUTE(IF(EST!$P13=1,EST!C13,EST!D13)," ",""),IF(_xlpm.s="OFF","OFF",TEXT(MOD(TIMEVALUE(_xlfn.TEXTBEFORE(_xlpm.s,"-"))+0.5,1),"hh:mm")&amp;" - "&amp;TEXT(MOD(TIMEVALUE(_xlfn.TEXTAFTER(_xlpm.s,"-"))+0.5,1),"hh:mm"))),IF(EST!$P13=1,EST!C13,EST!D13))</f>
        <v>19:30 - 06:30</v>
      </c>
      <c r="E13" t="str">
        <f>IFERROR(_xlfn.LET(_xlpm.s,SUBSTITUTE(IF(EST!$P13=1,EST!D13,EST!E13)," ",""),IF(_xlpm.s="OFF","OFF",TEXT(MOD(TIMEVALUE(_xlfn.TEXTBEFORE(_xlpm.s,"-"))+0.5,1),"hh:mm")&amp;" - "&amp;TEXT(MOD(TIMEVALUE(_xlfn.TEXTAFTER(_xlpm.s,"-"))+0.5,1),"hh:mm"))),IF(EST!$P13=1,EST!D13,EST!E13))</f>
        <v>19:30 - 06:30</v>
      </c>
      <c r="F13" t="str">
        <f>IFERROR(_xlfn.LET(_xlpm.s,SUBSTITUTE(IF(EST!$P13=1,EST!E13,EST!F13)," ",""),IF(_xlpm.s="OFF","OFF",TEXT(MOD(TIMEVALUE(_xlfn.TEXTBEFORE(_xlpm.s,"-"))+0.5,1),"hh:mm")&amp;" - "&amp;TEXT(MOD(TIMEVALUE(_xlfn.TEXTAFTER(_xlpm.s,"-"))+0.5,1),"hh:mm"))),IF(EST!$P13=1,EST!E13,EST!F13))</f>
        <v>19:30 - 06:30</v>
      </c>
      <c r="G13" t="str">
        <f>IFERROR(_xlfn.LET(_xlpm.s,SUBSTITUTE(IF(EST!$P13=1,EST!F13,EST!G13)," ",""),IF(_xlpm.s="OFF","OFF",TEXT(MOD(TIMEVALUE(_xlfn.TEXTBEFORE(_xlpm.s,"-"))+0.5,1),"hh:mm")&amp;" - "&amp;TEXT(MOD(TIMEVALUE(_xlfn.TEXTAFTER(_xlpm.s,"-"))+0.5,1),"hh:mm"))),IF(EST!$P13=1,EST!F13,EST!G13))</f>
        <v>OFF</v>
      </c>
      <c r="H13" t="str">
        <f>IFERROR(_xlfn.LET(_xlpm.s,SUBSTITUTE(IF(EST!$P13=1,EST!G13,EST!H13)," ",""),IF(_xlpm.s="OFF","OFF",TEXT(MOD(TIMEVALUE(_xlfn.TEXTBEFORE(_xlpm.s,"-"))+0.5,1),"hh:mm")&amp;" - "&amp;TEXT(MOD(TIMEVALUE(_xlfn.TEXTAFTER(_xlpm.s,"-"))+0.5,1),"hh:mm"))),IF(EST!$P13=1,EST!G13,EST!H13))</f>
        <v>OFF</v>
      </c>
      <c r="I13" t="str">
        <f t="shared" si="0"/>
        <v>Mon - Sat - Sun</v>
      </c>
      <c r="J13" s="38">
        <f>MOD(EST!J13+TIME(12,0,0),1)</f>
        <v>0.89583333333333326</v>
      </c>
      <c r="K13" s="38">
        <f>MOD(EST!K13+TIME(12,0,0),1)</f>
        <v>0.10416666666666652</v>
      </c>
      <c r="L13" s="38">
        <f>MOD(EST!L13+TIME(12,0,0),1)</f>
        <v>0.97916666666666674</v>
      </c>
      <c r="M13" s="38">
        <f>MOD(EST!M13+TIME(12,0,0),1)</f>
        <v>0.22916666666666652</v>
      </c>
      <c r="N13" t="str">
        <f>EST!N13</f>
        <v>Christopher Rodas</v>
      </c>
    </row>
    <row r="14" spans="1:14" x14ac:dyDescent="0.3">
      <c r="A14" t="str">
        <f>EST!A14</f>
        <v>CYNTHIA ANOSA</v>
      </c>
      <c r="B14" t="str">
        <f>IFERROR(_xlfn.LET(_xlpm.s,SUBSTITUTE(IF(EST!$P14=1,EST!H14,EST!B14)," ",""),IF(_xlpm.s="OFF","OFF",TEXT(MOD(TIMEVALUE(_xlfn.TEXTBEFORE(_xlpm.s,"-"))+0.5,1),"hh:mm")&amp;" - "&amp;TEXT(MOD(TIMEVALUE(_xlfn.TEXTAFTER(_xlpm.s,"-"))+0.5,1),"hh:mm"))),IF(EST!$P14=1,EST!H14,EST!B14))</f>
        <v>OFF</v>
      </c>
      <c r="C14" t="str">
        <f>IFERROR(_xlfn.LET(_xlpm.s,SUBSTITUTE(IF(EST!$P14=1,EST!B14,EST!C14)," ",""),IF(_xlpm.s="OFF","OFF",TEXT(MOD(TIMEVALUE(_xlfn.TEXTBEFORE(_xlpm.s,"-"))+0.5,1),"hh:mm")&amp;" - "&amp;TEXT(MOD(TIMEVALUE(_xlfn.TEXTAFTER(_xlpm.s,"-"))+0.5,1),"hh:mm"))),IF(EST!$P14=1,EST!B14,EST!C14))</f>
        <v>16:00 - 03:00</v>
      </c>
      <c r="D14" t="str">
        <f>IFERROR(_xlfn.LET(_xlpm.s,SUBSTITUTE(IF(EST!$P14=1,EST!C14,EST!D14)," ",""),IF(_xlpm.s="OFF","OFF",TEXT(MOD(TIMEVALUE(_xlfn.TEXTBEFORE(_xlpm.s,"-"))+0.5,1),"hh:mm")&amp;" - "&amp;TEXT(MOD(TIMEVALUE(_xlfn.TEXTAFTER(_xlpm.s,"-"))+0.5,1),"hh:mm"))),IF(EST!$P14=1,EST!C14,EST!D14))</f>
        <v>16:00 - 03:00</v>
      </c>
      <c r="E14" t="str">
        <f>IFERROR(_xlfn.LET(_xlpm.s,SUBSTITUTE(IF(EST!$P14=1,EST!D14,EST!E14)," ",""),IF(_xlpm.s="OFF","OFF",TEXT(MOD(TIMEVALUE(_xlfn.TEXTBEFORE(_xlpm.s,"-"))+0.5,1),"hh:mm")&amp;" - "&amp;TEXT(MOD(TIMEVALUE(_xlfn.TEXTAFTER(_xlpm.s,"-"))+0.5,1),"hh:mm"))),IF(EST!$P14=1,EST!D14,EST!E14))</f>
        <v>16:00 - 03:00</v>
      </c>
      <c r="F14" t="str">
        <f>IFERROR(_xlfn.LET(_xlpm.s,SUBSTITUTE(IF(EST!$P14=1,EST!E14,EST!F14)," ",""),IF(_xlpm.s="OFF","OFF",TEXT(MOD(TIMEVALUE(_xlfn.TEXTBEFORE(_xlpm.s,"-"))+0.5,1),"hh:mm")&amp;" - "&amp;TEXT(MOD(TIMEVALUE(_xlfn.TEXTAFTER(_xlpm.s,"-"))+0.5,1),"hh:mm"))),IF(EST!$P14=1,EST!E14,EST!F14))</f>
        <v>16:00 - 03:00</v>
      </c>
      <c r="G14" t="str">
        <f>IFERROR(_xlfn.LET(_xlpm.s,SUBSTITUTE(IF(EST!$P14=1,EST!F14,EST!G14)," ",""),IF(_xlpm.s="OFF","OFF",TEXT(MOD(TIMEVALUE(_xlfn.TEXTBEFORE(_xlpm.s,"-"))+0.5,1),"hh:mm")&amp;" - "&amp;TEXT(MOD(TIMEVALUE(_xlfn.TEXTAFTER(_xlpm.s,"-"))+0.5,1),"hh:mm"))),IF(EST!$P14=1,EST!F14,EST!G14))</f>
        <v>OFF</v>
      </c>
      <c r="H14" t="str">
        <f>IFERROR(_xlfn.LET(_xlpm.s,SUBSTITUTE(IF(EST!$P14=1,EST!G14,EST!H14)," ",""),IF(_xlpm.s="OFF","OFF",TEXT(MOD(TIMEVALUE(_xlfn.TEXTBEFORE(_xlpm.s,"-"))+0.5,1),"hh:mm")&amp;" - "&amp;TEXT(MOD(TIMEVALUE(_xlfn.TEXTAFTER(_xlpm.s,"-"))+0.5,1),"hh:mm"))),IF(EST!$P14=1,EST!G14,EST!H14))</f>
        <v>OFF</v>
      </c>
      <c r="I14" t="str">
        <f t="shared" si="0"/>
        <v>Mon - Sat - Sun</v>
      </c>
      <c r="J14" s="38">
        <f>MOD(EST!J14+TIME(12,0,0),1)</f>
        <v>0.73958333333333337</v>
      </c>
      <c r="K14" s="38">
        <f>MOD(EST!K14+TIME(12,0,0),1)</f>
        <v>2.0833333333333481E-2</v>
      </c>
      <c r="L14" s="38">
        <f>MOD(EST!L14+TIME(12,0,0),1)</f>
        <v>0.85416666666666674</v>
      </c>
      <c r="M14" s="38">
        <f>MOD(EST!M14+TIME(12,0,0),1)</f>
        <v>8.3333333333333481E-2</v>
      </c>
      <c r="N14" t="str">
        <f>EST!N14</f>
        <v>Manilyn Abellar</v>
      </c>
    </row>
    <row r="15" spans="1:14" x14ac:dyDescent="0.3">
      <c r="A15" t="str">
        <f>EST!A15</f>
        <v>DAIRENN ANGEL ADARNE</v>
      </c>
      <c r="B15" t="str">
        <f>IFERROR(_xlfn.LET(_xlpm.s,SUBSTITUTE(IF(EST!$P15=1,EST!H15,EST!B15)," ",""),IF(_xlpm.s="OFF","OFF",TEXT(MOD(TIMEVALUE(_xlfn.TEXTBEFORE(_xlpm.s,"-"))+0.5,1),"hh:mm")&amp;" - "&amp;TEXT(MOD(TIMEVALUE(_xlfn.TEXTAFTER(_xlpm.s,"-"))+0.5,1),"hh:mm"))),IF(EST!$P15=1,EST!H15,EST!B15))</f>
        <v>20:00 - 07:00</v>
      </c>
      <c r="C15" t="str">
        <f>IFERROR(_xlfn.LET(_xlpm.s,SUBSTITUTE(IF(EST!$P15=1,EST!B15,EST!C15)," ",""),IF(_xlpm.s="OFF","OFF",TEXT(MOD(TIMEVALUE(_xlfn.TEXTBEFORE(_xlpm.s,"-"))+0.5,1),"hh:mm")&amp;" - "&amp;TEXT(MOD(TIMEVALUE(_xlfn.TEXTAFTER(_xlpm.s,"-"))+0.5,1),"hh:mm"))),IF(EST!$P15=1,EST!B15,EST!C15))</f>
        <v>20:00 - 07:00</v>
      </c>
      <c r="D15" t="str">
        <f>IFERROR(_xlfn.LET(_xlpm.s,SUBSTITUTE(IF(EST!$P15=1,EST!C15,EST!D15)," ",""),IF(_xlpm.s="OFF","OFF",TEXT(MOD(TIMEVALUE(_xlfn.TEXTBEFORE(_xlpm.s,"-"))+0.5,1),"hh:mm")&amp;" - "&amp;TEXT(MOD(TIMEVALUE(_xlfn.TEXTAFTER(_xlpm.s,"-"))+0.5,1),"hh:mm"))),IF(EST!$P15=1,EST!C15,EST!D15))</f>
        <v>OFF</v>
      </c>
      <c r="E15" t="str">
        <f>IFERROR(_xlfn.LET(_xlpm.s,SUBSTITUTE(IF(EST!$P15=1,EST!D15,EST!E15)," ",""),IF(_xlpm.s="OFF","OFF",TEXT(MOD(TIMEVALUE(_xlfn.TEXTBEFORE(_xlpm.s,"-"))+0.5,1),"hh:mm")&amp;" - "&amp;TEXT(MOD(TIMEVALUE(_xlfn.TEXTAFTER(_xlpm.s,"-"))+0.5,1),"hh:mm"))),IF(EST!$P15=1,EST!D15,EST!E15))</f>
        <v>OFF</v>
      </c>
      <c r="F15" t="str">
        <f>IFERROR(_xlfn.LET(_xlpm.s,SUBSTITUTE(IF(EST!$P15=1,EST!E15,EST!F15)," ",""),IF(_xlpm.s="OFF","OFF",TEXT(MOD(TIMEVALUE(_xlfn.TEXTBEFORE(_xlpm.s,"-"))+0.5,1),"hh:mm")&amp;" - "&amp;TEXT(MOD(TIMEVALUE(_xlfn.TEXTAFTER(_xlpm.s,"-"))+0.5,1),"hh:mm"))),IF(EST!$P15=1,EST!E15,EST!F15))</f>
        <v>OFF</v>
      </c>
      <c r="G15" t="str">
        <f>IFERROR(_xlfn.LET(_xlpm.s,SUBSTITUTE(IF(EST!$P15=1,EST!F15,EST!G15)," ",""),IF(_xlpm.s="OFF","OFF",TEXT(MOD(TIMEVALUE(_xlfn.TEXTBEFORE(_xlpm.s,"-"))+0.5,1),"hh:mm")&amp;" - "&amp;TEXT(MOD(TIMEVALUE(_xlfn.TEXTAFTER(_xlpm.s,"-"))+0.5,1),"hh:mm"))),IF(EST!$P15=1,EST!F15,EST!G15))</f>
        <v>20:00 - 07:00</v>
      </c>
      <c r="H15" t="str">
        <f>IFERROR(_xlfn.LET(_xlpm.s,SUBSTITUTE(IF(EST!$P15=1,EST!G15,EST!H15)," ",""),IF(_xlpm.s="OFF","OFF",TEXT(MOD(TIMEVALUE(_xlfn.TEXTBEFORE(_xlpm.s,"-"))+0.5,1),"hh:mm")&amp;" - "&amp;TEXT(MOD(TIMEVALUE(_xlfn.TEXTAFTER(_xlpm.s,"-"))+0.5,1),"hh:mm"))),IF(EST!$P15=1,EST!G15,EST!H15))</f>
        <v>20:00 - 07:00</v>
      </c>
      <c r="I15" t="str">
        <f t="shared" si="0"/>
        <v>Wed - Thu - Fri</v>
      </c>
      <c r="J15" s="38">
        <f>MOD(EST!J15+TIME(12,0,0),1)</f>
        <v>0.9375</v>
      </c>
      <c r="K15" s="38">
        <f>MOD(EST!K15+TIME(12,0,0),1)</f>
        <v>0.14583333333333348</v>
      </c>
      <c r="L15" s="38">
        <f>MOD(EST!L15+TIME(12,0,0),1)</f>
        <v>2.0833333333333481E-2</v>
      </c>
      <c r="M15" s="38">
        <f>MOD(EST!M15+TIME(12,0,0),1)</f>
        <v>0.25</v>
      </c>
      <c r="N15" t="str">
        <f>EST!N15</f>
        <v>Manilyn Abellar</v>
      </c>
    </row>
    <row r="16" spans="1:14" x14ac:dyDescent="0.3">
      <c r="A16" t="str">
        <f>EST!A16</f>
        <v>DHARLYN GREJ ESTILLORE</v>
      </c>
      <c r="B16" t="str">
        <f>IFERROR(_xlfn.LET(_xlpm.s,SUBSTITUTE(IF(EST!$P16=1,EST!H16,EST!B16)," ",""),IF(_xlpm.s="OFF","OFF",TEXT(MOD(TIMEVALUE(_xlfn.TEXTBEFORE(_xlpm.s,"-"))+0.5,1),"hh:mm")&amp;" - "&amp;TEXT(MOD(TIMEVALUE(_xlfn.TEXTAFTER(_xlpm.s,"-"))+0.5,1),"hh:mm"))),IF(EST!$P16=1,EST!H16,EST!B16))</f>
        <v>OFF</v>
      </c>
      <c r="C16" t="str">
        <f>IFERROR(_xlfn.LET(_xlpm.s,SUBSTITUTE(IF(EST!$P16=1,EST!B16,EST!C16)," ",""),IF(_xlpm.s="OFF","OFF",TEXT(MOD(TIMEVALUE(_xlfn.TEXTBEFORE(_xlpm.s,"-"))+0.5,1),"hh:mm")&amp;" - "&amp;TEXT(MOD(TIMEVALUE(_xlfn.TEXTAFTER(_xlpm.s,"-"))+0.5,1),"hh:mm"))),IF(EST!$P16=1,EST!B16,EST!C16))</f>
        <v>23:00 - 10:00</v>
      </c>
      <c r="D16" t="str">
        <f>IFERROR(_xlfn.LET(_xlpm.s,SUBSTITUTE(IF(EST!$P16=1,EST!C16,EST!D16)," ",""),IF(_xlpm.s="OFF","OFF",TEXT(MOD(TIMEVALUE(_xlfn.TEXTBEFORE(_xlpm.s,"-"))+0.5,1),"hh:mm")&amp;" - "&amp;TEXT(MOD(TIMEVALUE(_xlfn.TEXTAFTER(_xlpm.s,"-"))+0.5,1),"hh:mm"))),IF(EST!$P16=1,EST!C16,EST!D16))</f>
        <v>23:00 - 10:00</v>
      </c>
      <c r="E16" t="str">
        <f>IFERROR(_xlfn.LET(_xlpm.s,SUBSTITUTE(IF(EST!$P16=1,EST!D16,EST!E16)," ",""),IF(_xlpm.s="OFF","OFF",TEXT(MOD(TIMEVALUE(_xlfn.TEXTBEFORE(_xlpm.s,"-"))+0.5,1),"hh:mm")&amp;" - "&amp;TEXT(MOD(TIMEVALUE(_xlfn.TEXTAFTER(_xlpm.s,"-"))+0.5,1),"hh:mm"))),IF(EST!$P16=1,EST!D16,EST!E16))</f>
        <v>23:00 - 10:00</v>
      </c>
      <c r="F16" t="str">
        <f>IFERROR(_xlfn.LET(_xlpm.s,SUBSTITUTE(IF(EST!$P16=1,EST!E16,EST!F16)," ",""),IF(_xlpm.s="OFF","OFF",TEXT(MOD(TIMEVALUE(_xlfn.TEXTBEFORE(_xlpm.s,"-"))+0.5,1),"hh:mm")&amp;" - "&amp;TEXT(MOD(TIMEVALUE(_xlfn.TEXTAFTER(_xlpm.s,"-"))+0.5,1),"hh:mm"))),IF(EST!$P16=1,EST!E16,EST!F16))</f>
        <v>23:00 - 10:00</v>
      </c>
      <c r="G16" t="str">
        <f>IFERROR(_xlfn.LET(_xlpm.s,SUBSTITUTE(IF(EST!$P16=1,EST!F16,EST!G16)," ",""),IF(_xlpm.s="OFF","OFF",TEXT(MOD(TIMEVALUE(_xlfn.TEXTBEFORE(_xlpm.s,"-"))+0.5,1),"hh:mm")&amp;" - "&amp;TEXT(MOD(TIMEVALUE(_xlfn.TEXTAFTER(_xlpm.s,"-"))+0.5,1),"hh:mm"))),IF(EST!$P16=1,EST!F16,EST!G16))</f>
        <v>OFF</v>
      </c>
      <c r="H16" t="str">
        <f>IFERROR(_xlfn.LET(_xlpm.s,SUBSTITUTE(IF(EST!$P16=1,EST!G16,EST!H16)," ",""),IF(_xlpm.s="OFF","OFF",TEXT(MOD(TIMEVALUE(_xlfn.TEXTBEFORE(_xlpm.s,"-"))+0.5,1),"hh:mm")&amp;" - "&amp;TEXT(MOD(TIMEVALUE(_xlfn.TEXTAFTER(_xlpm.s,"-"))+0.5,1),"hh:mm"))),IF(EST!$P16=1,EST!G16,EST!H16))</f>
        <v>OFF</v>
      </c>
      <c r="I16" t="str">
        <f t="shared" si="0"/>
        <v>Mon - Sat - Sun</v>
      </c>
      <c r="J16" s="38">
        <f>MOD(EST!J16+TIME(12,0,0),1)</f>
        <v>4.1666666666666519E-2</v>
      </c>
      <c r="K16" s="38">
        <f>MOD(EST!K16+TIME(12,0,0),1)</f>
        <v>0.13541666666666652</v>
      </c>
      <c r="L16" s="38">
        <f>MOD(EST!L16+TIME(12,0,0),1)</f>
        <v>0.22916666666666652</v>
      </c>
      <c r="M16" s="38">
        <f>MOD(EST!M16+TIME(12,0,0),1)</f>
        <v>0.35416666666666652</v>
      </c>
      <c r="N16" t="str">
        <f>EST!N16</f>
        <v>Anmecha Valencia</v>
      </c>
    </row>
    <row r="17" spans="1:14" x14ac:dyDescent="0.3">
      <c r="A17" t="str">
        <f>EST!A17</f>
        <v>EDUARDO JACINTO</v>
      </c>
      <c r="B17" t="str">
        <f>IFERROR(_xlfn.LET(_xlpm.s,SUBSTITUTE(IF(EST!$P17=1,EST!H17,EST!B17)," ",""),IF(_xlpm.s="OFF","OFF",TEXT(MOD(TIMEVALUE(_xlfn.TEXTBEFORE(_xlpm.s,"-"))+0.5,1),"hh:mm")&amp;" - "&amp;TEXT(MOD(TIMEVALUE(_xlfn.TEXTAFTER(_xlpm.s,"-"))+0.5,1),"hh:mm"))),IF(EST!$P17=1,EST!H17,EST!B17))</f>
        <v>OFF</v>
      </c>
      <c r="C17" t="str">
        <f>IFERROR(_xlfn.LET(_xlpm.s,SUBSTITUTE(IF(EST!$P17=1,EST!B17,EST!C17)," ",""),IF(_xlpm.s="OFF","OFF",TEXT(MOD(TIMEVALUE(_xlfn.TEXTBEFORE(_xlpm.s,"-"))+0.5,1),"hh:mm")&amp;" - "&amp;TEXT(MOD(TIMEVALUE(_xlfn.TEXTAFTER(_xlpm.s,"-"))+0.5,1),"hh:mm"))),IF(EST!$P17=1,EST!B17,EST!C17))</f>
        <v>21:00 - 08:00</v>
      </c>
      <c r="D17" t="str">
        <f>IFERROR(_xlfn.LET(_xlpm.s,SUBSTITUTE(IF(EST!$P17=1,EST!C17,EST!D17)," ",""),IF(_xlpm.s="OFF","OFF",TEXT(MOD(TIMEVALUE(_xlfn.TEXTBEFORE(_xlpm.s,"-"))+0.5,1),"hh:mm")&amp;" - "&amp;TEXT(MOD(TIMEVALUE(_xlfn.TEXTAFTER(_xlpm.s,"-"))+0.5,1),"hh:mm"))),IF(EST!$P17=1,EST!C17,EST!D17))</f>
        <v>21:00 - 08:00</v>
      </c>
      <c r="E17" t="str">
        <f>IFERROR(_xlfn.LET(_xlpm.s,SUBSTITUTE(IF(EST!$P17=1,EST!D17,EST!E17)," ",""),IF(_xlpm.s="OFF","OFF",TEXT(MOD(TIMEVALUE(_xlfn.TEXTBEFORE(_xlpm.s,"-"))+0.5,1),"hh:mm")&amp;" - "&amp;TEXT(MOD(TIMEVALUE(_xlfn.TEXTAFTER(_xlpm.s,"-"))+0.5,1),"hh:mm"))),IF(EST!$P17=1,EST!D17,EST!E17))</f>
        <v>21:00 - 08:00</v>
      </c>
      <c r="F17" t="str">
        <f>IFERROR(_xlfn.LET(_xlpm.s,SUBSTITUTE(IF(EST!$P17=1,EST!E17,EST!F17)," ",""),IF(_xlpm.s="OFF","OFF",TEXT(MOD(TIMEVALUE(_xlfn.TEXTBEFORE(_xlpm.s,"-"))+0.5,1),"hh:mm")&amp;" - "&amp;TEXT(MOD(TIMEVALUE(_xlfn.TEXTAFTER(_xlpm.s,"-"))+0.5,1),"hh:mm"))),IF(EST!$P17=1,EST!E17,EST!F17))</f>
        <v>OFF</v>
      </c>
      <c r="G17" t="str">
        <f>IFERROR(_xlfn.LET(_xlpm.s,SUBSTITUTE(IF(EST!$P17=1,EST!F17,EST!G17)," ",""),IF(_xlpm.s="OFF","OFF",TEXT(MOD(TIMEVALUE(_xlfn.TEXTBEFORE(_xlpm.s,"-"))+0.5,1),"hh:mm")&amp;" - "&amp;TEXT(MOD(TIMEVALUE(_xlfn.TEXTAFTER(_xlpm.s,"-"))+0.5,1),"hh:mm"))),IF(EST!$P17=1,EST!F17,EST!G17))</f>
        <v>21:00 - 08:00</v>
      </c>
      <c r="H17" t="str">
        <f>IFERROR(_xlfn.LET(_xlpm.s,SUBSTITUTE(IF(EST!$P17=1,EST!G17,EST!H17)," ",""),IF(_xlpm.s="OFF","OFF",TEXT(MOD(TIMEVALUE(_xlfn.TEXTBEFORE(_xlpm.s,"-"))+0.5,1),"hh:mm")&amp;" - "&amp;TEXT(MOD(TIMEVALUE(_xlfn.TEXTAFTER(_xlpm.s,"-"))+0.5,1),"hh:mm"))),IF(EST!$P17=1,EST!G17,EST!H17))</f>
        <v>OFF</v>
      </c>
      <c r="I17" t="str">
        <f t="shared" si="0"/>
        <v>Mon - Fri - Sun</v>
      </c>
      <c r="J17" s="38">
        <f>MOD(EST!J17+TIME(12,0,0),1)</f>
        <v>0.95833333333333326</v>
      </c>
      <c r="K17" s="38">
        <f>MOD(EST!K17+TIME(12,0,0),1)</f>
        <v>7.2916666666666519E-2</v>
      </c>
      <c r="L17" s="38">
        <f>MOD(EST!L17+TIME(12,0,0),1)</f>
        <v>0.14583333333333348</v>
      </c>
      <c r="M17" s="38">
        <f>MOD(EST!M17+TIME(12,0,0),1)</f>
        <v>0.27083333333333348</v>
      </c>
      <c r="N17" t="str">
        <f>EST!N17</f>
        <v>Anmecha Valencia</v>
      </c>
    </row>
    <row r="18" spans="1:14" x14ac:dyDescent="0.3">
      <c r="A18" t="str">
        <f>EST!A18</f>
        <v>ELIJAH JEREMY RACCA</v>
      </c>
      <c r="B18" t="str">
        <f>IFERROR(_xlfn.LET(_xlpm.s,SUBSTITUTE(IF(EST!$P18=1,EST!H18,EST!B18)," ",""),IF(_xlpm.s="OFF","OFF",TEXT(MOD(TIMEVALUE(_xlfn.TEXTBEFORE(_xlpm.s,"-"))+0.5,1),"hh:mm")&amp;" - "&amp;TEXT(MOD(TIMEVALUE(_xlfn.TEXTAFTER(_xlpm.s,"-"))+0.5,1),"hh:mm"))),IF(EST!$P18=1,EST!H18,EST!B18))</f>
        <v>OFF</v>
      </c>
      <c r="C18" t="str">
        <f>IFERROR(_xlfn.LET(_xlpm.s,SUBSTITUTE(IF(EST!$P18=1,EST!B18,EST!C18)," ",""),IF(_xlpm.s="OFF","OFF",TEXT(MOD(TIMEVALUE(_xlfn.TEXTBEFORE(_xlpm.s,"-"))+0.5,1),"hh:mm")&amp;" - "&amp;TEXT(MOD(TIMEVALUE(_xlfn.TEXTAFTER(_xlpm.s,"-"))+0.5,1),"hh:mm"))),IF(EST!$P18=1,EST!B18,EST!C18))</f>
        <v>21:00 - 08:00</v>
      </c>
      <c r="D18" t="str">
        <f>IFERROR(_xlfn.LET(_xlpm.s,SUBSTITUTE(IF(EST!$P18=1,EST!C18,EST!D18)," ",""),IF(_xlpm.s="OFF","OFF",TEXT(MOD(TIMEVALUE(_xlfn.TEXTBEFORE(_xlpm.s,"-"))+0.5,1),"hh:mm")&amp;" - "&amp;TEXT(MOD(TIMEVALUE(_xlfn.TEXTAFTER(_xlpm.s,"-"))+0.5,1),"hh:mm"))),IF(EST!$P18=1,EST!C18,EST!D18))</f>
        <v>21:00 - 08:00</v>
      </c>
      <c r="E18" t="str">
        <f>IFERROR(_xlfn.LET(_xlpm.s,SUBSTITUTE(IF(EST!$P18=1,EST!D18,EST!E18)," ",""),IF(_xlpm.s="OFF","OFF",TEXT(MOD(TIMEVALUE(_xlfn.TEXTBEFORE(_xlpm.s,"-"))+0.5,1),"hh:mm")&amp;" - "&amp;TEXT(MOD(TIMEVALUE(_xlfn.TEXTAFTER(_xlpm.s,"-"))+0.5,1),"hh:mm"))),IF(EST!$P18=1,EST!D18,EST!E18))</f>
        <v>OFF</v>
      </c>
      <c r="F18" t="str">
        <f>IFERROR(_xlfn.LET(_xlpm.s,SUBSTITUTE(IF(EST!$P18=1,EST!E18,EST!F18)," ",""),IF(_xlpm.s="OFF","OFF",TEXT(MOD(TIMEVALUE(_xlfn.TEXTBEFORE(_xlpm.s,"-"))+0.5,1),"hh:mm")&amp;" - "&amp;TEXT(MOD(TIMEVALUE(_xlfn.TEXTAFTER(_xlpm.s,"-"))+0.5,1),"hh:mm"))),IF(EST!$P18=1,EST!E18,EST!F18))</f>
        <v>21:00 - 08:00</v>
      </c>
      <c r="G18" t="str">
        <f>IFERROR(_xlfn.LET(_xlpm.s,SUBSTITUTE(IF(EST!$P18=1,EST!F18,EST!G18)," ",""),IF(_xlpm.s="OFF","OFF",TEXT(MOD(TIMEVALUE(_xlfn.TEXTBEFORE(_xlpm.s,"-"))+0.5,1),"hh:mm")&amp;" - "&amp;TEXT(MOD(TIMEVALUE(_xlfn.TEXTAFTER(_xlpm.s,"-"))+0.5,1),"hh:mm"))),IF(EST!$P18=1,EST!F18,EST!G18))</f>
        <v>21:00 - 08:00</v>
      </c>
      <c r="H18" t="str">
        <f>IFERROR(_xlfn.LET(_xlpm.s,SUBSTITUTE(IF(EST!$P18=1,EST!G18,EST!H18)," ",""),IF(_xlpm.s="OFF","OFF",TEXT(MOD(TIMEVALUE(_xlfn.TEXTBEFORE(_xlpm.s,"-"))+0.5,1),"hh:mm")&amp;" - "&amp;TEXT(MOD(TIMEVALUE(_xlfn.TEXTAFTER(_xlpm.s,"-"))+0.5,1),"hh:mm"))),IF(EST!$P18=1,EST!G18,EST!H18))</f>
        <v>OFF</v>
      </c>
      <c r="I18" t="str">
        <f t="shared" si="0"/>
        <v>Mon - Thu - Sun</v>
      </c>
      <c r="J18" s="38">
        <f>MOD(EST!J18+TIME(12,0,0),1)</f>
        <v>0.98958333333333326</v>
      </c>
      <c r="K18" s="38">
        <f>MOD(EST!K18+TIME(12,0,0),1)</f>
        <v>7.2916666666666519E-2</v>
      </c>
      <c r="L18" s="38">
        <f>MOD(EST!L18+TIME(12,0,0),1)</f>
        <v>0.16666666666666652</v>
      </c>
      <c r="M18" s="38">
        <f>MOD(EST!M18+TIME(12,0,0),1)</f>
        <v>0.25</v>
      </c>
      <c r="N18" t="str">
        <f>EST!N18</f>
        <v>Anmecha Valencia</v>
      </c>
    </row>
    <row r="19" spans="1:14" x14ac:dyDescent="0.3">
      <c r="A19" t="str">
        <f>EST!A19</f>
        <v>ELJOHN MAR CABALIDA</v>
      </c>
      <c r="B19" t="str">
        <f>IFERROR(_xlfn.LET(_xlpm.s,SUBSTITUTE(IF(EST!$P19=1,EST!H19,EST!B19)," ",""),IF(_xlpm.s="OFF","OFF",TEXT(MOD(TIMEVALUE(_xlfn.TEXTBEFORE(_xlpm.s,"-"))+0.5,1),"hh:mm")&amp;" - "&amp;TEXT(MOD(TIMEVALUE(_xlfn.TEXTAFTER(_xlpm.s,"-"))+0.5,1),"hh:mm"))),IF(EST!$P19=1,EST!H19,EST!B19))</f>
        <v>OFF</v>
      </c>
      <c r="C19" t="str">
        <f>IFERROR(_xlfn.LET(_xlpm.s,SUBSTITUTE(IF(EST!$P19=1,EST!B19,EST!C19)," ",""),IF(_xlpm.s="OFF","OFF",TEXT(MOD(TIMEVALUE(_xlfn.TEXTBEFORE(_xlpm.s,"-"))+0.5,1),"hh:mm")&amp;" - "&amp;TEXT(MOD(TIMEVALUE(_xlfn.TEXTAFTER(_xlpm.s,"-"))+0.5,1),"hh:mm"))),IF(EST!$P19=1,EST!B19,EST!C19))</f>
        <v>20:00 - 07:00</v>
      </c>
      <c r="D19" t="str">
        <f>IFERROR(_xlfn.LET(_xlpm.s,SUBSTITUTE(IF(EST!$P19=1,EST!C19,EST!D19)," ",""),IF(_xlpm.s="OFF","OFF",TEXT(MOD(TIMEVALUE(_xlfn.TEXTBEFORE(_xlpm.s,"-"))+0.5,1),"hh:mm")&amp;" - "&amp;TEXT(MOD(TIMEVALUE(_xlfn.TEXTAFTER(_xlpm.s,"-"))+0.5,1),"hh:mm"))),IF(EST!$P19=1,EST!C19,EST!D19))</f>
        <v>20:00 - 07:00</v>
      </c>
      <c r="E19" t="str">
        <f>IFERROR(_xlfn.LET(_xlpm.s,SUBSTITUTE(IF(EST!$P19=1,EST!D19,EST!E19)," ",""),IF(_xlpm.s="OFF","OFF",TEXT(MOD(TIMEVALUE(_xlfn.TEXTBEFORE(_xlpm.s,"-"))+0.5,1),"hh:mm")&amp;" - "&amp;TEXT(MOD(TIMEVALUE(_xlfn.TEXTAFTER(_xlpm.s,"-"))+0.5,1),"hh:mm"))),IF(EST!$P19=1,EST!D19,EST!E19))</f>
        <v>OFF</v>
      </c>
      <c r="F19" t="str">
        <f>IFERROR(_xlfn.LET(_xlpm.s,SUBSTITUTE(IF(EST!$P19=1,EST!E19,EST!F19)," ",""),IF(_xlpm.s="OFF","OFF",TEXT(MOD(TIMEVALUE(_xlfn.TEXTBEFORE(_xlpm.s,"-"))+0.5,1),"hh:mm")&amp;" - "&amp;TEXT(MOD(TIMEVALUE(_xlfn.TEXTAFTER(_xlpm.s,"-"))+0.5,1),"hh:mm"))),IF(EST!$P19=1,EST!E19,EST!F19))</f>
        <v>20:00 - 07:00</v>
      </c>
      <c r="G19" t="str">
        <f>IFERROR(_xlfn.LET(_xlpm.s,SUBSTITUTE(IF(EST!$P19=1,EST!F19,EST!G19)," ",""),IF(_xlpm.s="OFF","OFF",TEXT(MOD(TIMEVALUE(_xlfn.TEXTBEFORE(_xlpm.s,"-"))+0.5,1),"hh:mm")&amp;" - "&amp;TEXT(MOD(TIMEVALUE(_xlfn.TEXTAFTER(_xlpm.s,"-"))+0.5,1),"hh:mm"))),IF(EST!$P19=1,EST!F19,EST!G19))</f>
        <v>20:00 - 07:00</v>
      </c>
      <c r="H19" t="str">
        <f>IFERROR(_xlfn.LET(_xlpm.s,SUBSTITUTE(IF(EST!$P19=1,EST!G19,EST!H19)," ",""),IF(_xlpm.s="OFF","OFF",TEXT(MOD(TIMEVALUE(_xlfn.TEXTBEFORE(_xlpm.s,"-"))+0.5,1),"hh:mm")&amp;" - "&amp;TEXT(MOD(TIMEVALUE(_xlfn.TEXTAFTER(_xlpm.s,"-"))+0.5,1),"hh:mm"))),IF(EST!$P19=1,EST!G19,EST!H19))</f>
        <v>OFF</v>
      </c>
      <c r="I19" t="str">
        <f t="shared" ref="I19:I59" si="1">_xlfn.TEXTJOIN(" - ",TRUE,
IF(B19="OFF","Mon",""),
IF(C19="OFF","Tue",""),
IF(D19="OFF","Wed",""),
IF(E19="OFF","Thu",""),
IF(F19="OFF","Fri",""),
IF(G19="OFF","Sat",""),
IF(H19="OFF","Sun",""))</f>
        <v>Mon - Thu - Sun</v>
      </c>
      <c r="J19" s="38">
        <f>MOD(EST!J19+TIME(12,0,0),1)</f>
        <v>0.9375</v>
      </c>
      <c r="K19" s="38">
        <f>MOD(EST!K19+TIME(12,0,0),1)</f>
        <v>0.15625</v>
      </c>
      <c r="L19" s="38">
        <f>MOD(EST!L19+TIME(12,0,0),1)</f>
        <v>3.125E-2</v>
      </c>
      <c r="M19" s="38">
        <f>MOD(EST!M19+TIME(12,0,0),1)</f>
        <v>0.25</v>
      </c>
      <c r="N19" t="str">
        <f>EST!N19</f>
        <v>Michael Dominguez</v>
      </c>
    </row>
    <row r="20" spans="1:14" x14ac:dyDescent="0.3">
      <c r="A20" t="str">
        <f>EST!A20</f>
        <v>FRANCIS BAJAO</v>
      </c>
      <c r="B20" t="str">
        <f>IFERROR(_xlfn.LET(_xlpm.s,SUBSTITUTE(IF(EST!$P20=1,EST!H20,EST!B20)," ",""),IF(_xlpm.s="OFF","OFF",TEXT(MOD(TIMEVALUE(_xlfn.TEXTBEFORE(_xlpm.s,"-"))+0.5,1),"hh:mm")&amp;" - "&amp;TEXT(MOD(TIMEVALUE(_xlfn.TEXTAFTER(_xlpm.s,"-"))+0.5,1),"hh:mm"))),IF(EST!$P20=1,EST!H20,EST!B20))</f>
        <v>06:00 - 17:00</v>
      </c>
      <c r="C20" t="str">
        <f>IFERROR(_xlfn.LET(_xlpm.s,SUBSTITUTE(IF(EST!$P20=1,EST!B20,EST!C20)," ",""),IF(_xlpm.s="OFF","OFF",TEXT(MOD(TIMEVALUE(_xlfn.TEXTBEFORE(_xlpm.s,"-"))+0.5,1),"hh:mm")&amp;" - "&amp;TEXT(MOD(TIMEVALUE(_xlfn.TEXTAFTER(_xlpm.s,"-"))+0.5,1),"hh:mm"))),IF(EST!$P20=1,EST!B20,EST!C20))</f>
        <v>06:00 - 17:00</v>
      </c>
      <c r="D20" t="str">
        <f>IFERROR(_xlfn.LET(_xlpm.s,SUBSTITUTE(IF(EST!$P20=1,EST!C20,EST!D20)," ",""),IF(_xlpm.s="OFF","OFF",TEXT(MOD(TIMEVALUE(_xlfn.TEXTBEFORE(_xlpm.s,"-"))+0.5,1),"hh:mm")&amp;" - "&amp;TEXT(MOD(TIMEVALUE(_xlfn.TEXTAFTER(_xlpm.s,"-"))+0.5,1),"hh:mm"))),IF(EST!$P20=1,EST!C20,EST!D20))</f>
        <v>06:00 - 17:00</v>
      </c>
      <c r="E20" t="str">
        <f>IFERROR(_xlfn.LET(_xlpm.s,SUBSTITUTE(IF(EST!$P20=1,EST!D20,EST!E20)," ",""),IF(_xlpm.s="OFF","OFF",TEXT(MOD(TIMEVALUE(_xlfn.TEXTBEFORE(_xlpm.s,"-"))+0.5,1),"hh:mm")&amp;" - "&amp;TEXT(MOD(TIMEVALUE(_xlfn.TEXTAFTER(_xlpm.s,"-"))+0.5,1),"hh:mm"))),IF(EST!$P20=1,EST!D20,EST!E20))</f>
        <v>OFF</v>
      </c>
      <c r="F20" t="str">
        <f>IFERROR(_xlfn.LET(_xlpm.s,SUBSTITUTE(IF(EST!$P20=1,EST!E20,EST!F20)," ",""),IF(_xlpm.s="OFF","OFF",TEXT(MOD(TIMEVALUE(_xlfn.TEXTBEFORE(_xlpm.s,"-"))+0.5,1),"hh:mm")&amp;" - "&amp;TEXT(MOD(TIMEVALUE(_xlfn.TEXTAFTER(_xlpm.s,"-"))+0.5,1),"hh:mm"))),IF(EST!$P20=1,EST!E20,EST!F20))</f>
        <v>OFF</v>
      </c>
      <c r="G20" t="str">
        <f>IFERROR(_xlfn.LET(_xlpm.s,SUBSTITUTE(IF(EST!$P20=1,EST!F20,EST!G20)," ",""),IF(_xlpm.s="OFF","OFF",TEXT(MOD(TIMEVALUE(_xlfn.TEXTBEFORE(_xlpm.s,"-"))+0.5,1),"hh:mm")&amp;" - "&amp;TEXT(MOD(TIMEVALUE(_xlfn.TEXTAFTER(_xlpm.s,"-"))+0.5,1),"hh:mm"))),IF(EST!$P20=1,EST!F20,EST!G20))</f>
        <v>06:00 - 17:00</v>
      </c>
      <c r="H20" t="str">
        <f>IFERROR(_xlfn.LET(_xlpm.s,SUBSTITUTE(IF(EST!$P20=1,EST!G20,EST!H20)," ",""),IF(_xlpm.s="OFF","OFF",TEXT(MOD(TIMEVALUE(_xlfn.TEXTBEFORE(_xlpm.s,"-"))+0.5,1),"hh:mm")&amp;" - "&amp;TEXT(MOD(TIMEVALUE(_xlfn.TEXTAFTER(_xlpm.s,"-"))+0.5,1),"hh:mm"))),IF(EST!$P20=1,EST!G20,EST!H20))</f>
        <v>OFF</v>
      </c>
      <c r="I20" t="str">
        <f t="shared" si="1"/>
        <v>Thu - Fri - Sun</v>
      </c>
      <c r="J20" s="38">
        <f>MOD(EST!J20+TIME(12,0,0),1)</f>
        <v>0.39583333333333348</v>
      </c>
      <c r="K20" s="38">
        <f>MOD(EST!K20+TIME(12,0,0),1)</f>
        <v>0.60416666666666663</v>
      </c>
      <c r="L20" s="38">
        <f>MOD(EST!L20+TIME(12,0,0),1)</f>
        <v>0.47916666666666652</v>
      </c>
      <c r="M20" s="38">
        <f>MOD(EST!M20+TIME(12,0,0),1)</f>
        <v>0.6875</v>
      </c>
      <c r="N20" t="str">
        <f>EST!N20</f>
        <v>Christopher Rodas</v>
      </c>
    </row>
    <row r="21" spans="1:14" x14ac:dyDescent="0.3">
      <c r="A21" t="str">
        <f>EST!A21</f>
        <v>GISELLE FLORENDO</v>
      </c>
      <c r="B21" t="str">
        <f>IFERROR(_xlfn.LET(_xlpm.s,SUBSTITUTE(IF(EST!$P21=1,EST!H21,EST!B21)," ",""),IF(_xlpm.s="OFF","OFF",TEXT(MOD(TIMEVALUE(_xlfn.TEXTBEFORE(_xlpm.s,"-"))+0.5,1),"hh:mm")&amp;" - "&amp;TEXT(MOD(TIMEVALUE(_xlfn.TEXTAFTER(_xlpm.s,"-"))+0.5,1),"hh:mm"))),IF(EST!$P21=1,EST!H21,EST!B21))</f>
        <v>OFF</v>
      </c>
      <c r="C21" t="str">
        <f>IFERROR(_xlfn.LET(_xlpm.s,SUBSTITUTE(IF(EST!$P21=1,EST!B21,EST!C21)," ",""),IF(_xlpm.s="OFF","OFF",TEXT(MOD(TIMEVALUE(_xlfn.TEXTBEFORE(_xlpm.s,"-"))+0.5,1),"hh:mm")&amp;" - "&amp;TEXT(MOD(TIMEVALUE(_xlfn.TEXTAFTER(_xlpm.s,"-"))+0.5,1),"hh:mm"))),IF(EST!$P21=1,EST!B21,EST!C21))</f>
        <v>18:00 - 05:00</v>
      </c>
      <c r="D21" t="str">
        <f>IFERROR(_xlfn.LET(_xlpm.s,SUBSTITUTE(IF(EST!$P21=1,EST!C21,EST!D21)," ",""),IF(_xlpm.s="OFF","OFF",TEXT(MOD(TIMEVALUE(_xlfn.TEXTBEFORE(_xlpm.s,"-"))+0.5,1),"hh:mm")&amp;" - "&amp;TEXT(MOD(TIMEVALUE(_xlfn.TEXTAFTER(_xlpm.s,"-"))+0.5,1),"hh:mm"))),IF(EST!$P21=1,EST!C21,EST!D21))</f>
        <v>18:00 - 05:00</v>
      </c>
      <c r="E21" t="str">
        <f>IFERROR(_xlfn.LET(_xlpm.s,SUBSTITUTE(IF(EST!$P21=1,EST!D21,EST!E21)," ",""),IF(_xlpm.s="OFF","OFF",TEXT(MOD(TIMEVALUE(_xlfn.TEXTBEFORE(_xlpm.s,"-"))+0.5,1),"hh:mm")&amp;" - "&amp;TEXT(MOD(TIMEVALUE(_xlfn.TEXTAFTER(_xlpm.s,"-"))+0.5,1),"hh:mm"))),IF(EST!$P21=1,EST!D21,EST!E21))</f>
        <v>18:00 - 05:00</v>
      </c>
      <c r="F21" t="str">
        <f>IFERROR(_xlfn.LET(_xlpm.s,SUBSTITUTE(IF(EST!$P21=1,EST!E21,EST!F21)," ",""),IF(_xlpm.s="OFF","OFF",TEXT(MOD(TIMEVALUE(_xlfn.TEXTBEFORE(_xlpm.s,"-"))+0.5,1),"hh:mm")&amp;" - "&amp;TEXT(MOD(TIMEVALUE(_xlfn.TEXTAFTER(_xlpm.s,"-"))+0.5,1),"hh:mm"))),IF(EST!$P21=1,EST!E21,EST!F21))</f>
        <v>18:00 - 05:00</v>
      </c>
      <c r="G21" t="str">
        <f>IFERROR(_xlfn.LET(_xlpm.s,SUBSTITUTE(IF(EST!$P21=1,EST!F21,EST!G21)," ",""),IF(_xlpm.s="OFF","OFF",TEXT(MOD(TIMEVALUE(_xlfn.TEXTBEFORE(_xlpm.s,"-"))+0.5,1),"hh:mm")&amp;" - "&amp;TEXT(MOD(TIMEVALUE(_xlfn.TEXTAFTER(_xlpm.s,"-"))+0.5,1),"hh:mm"))),IF(EST!$P21=1,EST!F21,EST!G21))</f>
        <v>OFF</v>
      </c>
      <c r="H21" t="str">
        <f>IFERROR(_xlfn.LET(_xlpm.s,SUBSTITUTE(IF(EST!$P21=1,EST!G21,EST!H21)," ",""),IF(_xlpm.s="OFF","OFF",TEXT(MOD(TIMEVALUE(_xlfn.TEXTBEFORE(_xlpm.s,"-"))+0.5,1),"hh:mm")&amp;" - "&amp;TEXT(MOD(TIMEVALUE(_xlfn.TEXTAFTER(_xlpm.s,"-"))+0.5,1),"hh:mm"))),IF(EST!$P21=1,EST!G21,EST!H21))</f>
        <v>OFF</v>
      </c>
      <c r="I21" t="str">
        <f t="shared" si="1"/>
        <v>Mon - Sat - Sun</v>
      </c>
      <c r="J21" s="38">
        <f>MOD(EST!J21+TIME(12,0,0),1)</f>
        <v>0.84375</v>
      </c>
      <c r="K21" s="38">
        <f>MOD(EST!K21+TIME(12,0,0),1)</f>
        <v>6.25E-2</v>
      </c>
      <c r="L21" s="38">
        <f>MOD(EST!L21+TIME(12,0,0),1)</f>
        <v>0.9375</v>
      </c>
      <c r="M21" s="38">
        <f>MOD(EST!M21+TIME(12,0,0),1)</f>
        <v>0.15625</v>
      </c>
      <c r="N21" t="str">
        <f>EST!N21</f>
        <v>Remmo Panaligan</v>
      </c>
    </row>
    <row r="22" spans="1:14" x14ac:dyDescent="0.3">
      <c r="A22" t="str">
        <f>EST!A22</f>
        <v>JACKYLEEN CABALLERO</v>
      </c>
      <c r="B22" t="str">
        <f>IFERROR(_xlfn.LET(_xlpm.s,SUBSTITUTE(IF(EST!$P22=1,EST!H22,EST!B22)," ",""),IF(_xlpm.s="OFF","OFF",TEXT(MOD(TIMEVALUE(_xlfn.TEXTBEFORE(_xlpm.s,"-"))+0.5,1),"hh:mm")&amp;" - "&amp;TEXT(MOD(TIMEVALUE(_xlfn.TEXTAFTER(_xlpm.s,"-"))+0.5,1),"hh:mm"))),IF(EST!$P22=1,EST!H22,EST!B22))</f>
        <v>17:00 - 04:00</v>
      </c>
      <c r="C22" t="str">
        <f>IFERROR(_xlfn.LET(_xlpm.s,SUBSTITUTE(IF(EST!$P22=1,EST!B22,EST!C22)," ",""),IF(_xlpm.s="OFF","OFF",TEXT(MOD(TIMEVALUE(_xlfn.TEXTBEFORE(_xlpm.s,"-"))+0.5,1),"hh:mm")&amp;" - "&amp;TEXT(MOD(TIMEVALUE(_xlfn.TEXTAFTER(_xlpm.s,"-"))+0.5,1),"hh:mm"))),IF(EST!$P22=1,EST!B22,EST!C22))</f>
        <v>17:00 - 04:00</v>
      </c>
      <c r="D22" t="str">
        <f>IFERROR(_xlfn.LET(_xlpm.s,SUBSTITUTE(IF(EST!$P22=1,EST!C22,EST!D22)," ",""),IF(_xlpm.s="OFF","OFF",TEXT(MOD(TIMEVALUE(_xlfn.TEXTBEFORE(_xlpm.s,"-"))+0.5,1),"hh:mm")&amp;" - "&amp;TEXT(MOD(TIMEVALUE(_xlfn.TEXTAFTER(_xlpm.s,"-"))+0.5,1),"hh:mm"))),IF(EST!$P22=1,EST!C22,EST!D22))</f>
        <v>17:00 - 04:00</v>
      </c>
      <c r="E22" t="str">
        <f>IFERROR(_xlfn.LET(_xlpm.s,SUBSTITUTE(IF(EST!$P22=1,EST!D22,EST!E22)," ",""),IF(_xlpm.s="OFF","OFF",TEXT(MOD(TIMEVALUE(_xlfn.TEXTBEFORE(_xlpm.s,"-"))+0.5,1),"hh:mm")&amp;" - "&amp;TEXT(MOD(TIMEVALUE(_xlfn.TEXTAFTER(_xlpm.s,"-"))+0.5,1),"hh:mm"))),IF(EST!$P22=1,EST!D22,EST!E22))</f>
        <v>17:00 - 04:00</v>
      </c>
      <c r="F22" t="str">
        <f>IFERROR(_xlfn.LET(_xlpm.s,SUBSTITUTE(IF(EST!$P22=1,EST!E22,EST!F22)," ",""),IF(_xlpm.s="OFF","OFF",TEXT(MOD(TIMEVALUE(_xlfn.TEXTBEFORE(_xlpm.s,"-"))+0.5,1),"hh:mm")&amp;" - "&amp;TEXT(MOD(TIMEVALUE(_xlfn.TEXTAFTER(_xlpm.s,"-"))+0.5,1),"hh:mm"))),IF(EST!$P22=1,EST!E22,EST!F22))</f>
        <v>OFF</v>
      </c>
      <c r="G22" t="str">
        <f>IFERROR(_xlfn.LET(_xlpm.s,SUBSTITUTE(IF(EST!$P22=1,EST!F22,EST!G22)," ",""),IF(_xlpm.s="OFF","OFF",TEXT(MOD(TIMEVALUE(_xlfn.TEXTBEFORE(_xlpm.s,"-"))+0.5,1),"hh:mm")&amp;" - "&amp;TEXT(MOD(TIMEVALUE(_xlfn.TEXTAFTER(_xlpm.s,"-"))+0.5,1),"hh:mm"))),IF(EST!$P22=1,EST!F22,EST!G22))</f>
        <v>OFF</v>
      </c>
      <c r="H22" t="str">
        <f>IFERROR(_xlfn.LET(_xlpm.s,SUBSTITUTE(IF(EST!$P22=1,EST!G22,EST!H22)," ",""),IF(_xlpm.s="OFF","OFF",TEXT(MOD(TIMEVALUE(_xlfn.TEXTBEFORE(_xlpm.s,"-"))+0.5,1),"hh:mm")&amp;" - "&amp;TEXT(MOD(TIMEVALUE(_xlfn.TEXTAFTER(_xlpm.s,"-"))+0.5,1),"hh:mm"))),IF(EST!$P22=1,EST!G22,EST!H22))</f>
        <v>OFF</v>
      </c>
      <c r="I22" t="str">
        <f t="shared" si="1"/>
        <v>Fri - Sat - Sun</v>
      </c>
      <c r="J22" s="38">
        <f>MOD(EST!J22+TIME(12,0,0),1)</f>
        <v>0.80208333333333326</v>
      </c>
      <c r="K22" s="38">
        <f>MOD(EST!K22+TIME(12,0,0),1)</f>
        <v>4.1666666666666519E-2</v>
      </c>
      <c r="L22" s="38">
        <f>MOD(EST!L22+TIME(12,0,0),1)</f>
        <v>0.91666666666666674</v>
      </c>
      <c r="M22" s="38">
        <f>MOD(EST!M22+TIME(12,0,0),1)</f>
        <v>0.14583333333333348</v>
      </c>
      <c r="N22" t="str">
        <f>EST!N22</f>
        <v>Christopher Rodas</v>
      </c>
    </row>
    <row r="23" spans="1:14" x14ac:dyDescent="0.3">
      <c r="A23" t="str">
        <f>EST!A23</f>
        <v>JAMES KIM MALATAG</v>
      </c>
      <c r="B23" t="str">
        <f>IFERROR(_xlfn.LET(_xlpm.s,SUBSTITUTE(IF(EST!$P23=1,EST!H23,EST!B23)," ",""),IF(_xlpm.s="OFF","OFF",TEXT(MOD(TIMEVALUE(_xlfn.TEXTBEFORE(_xlpm.s,"-"))+0.5,1),"hh:mm")&amp;" - "&amp;TEXT(MOD(TIMEVALUE(_xlfn.TEXTAFTER(_xlpm.s,"-"))+0.5,1),"hh:mm"))),IF(EST!$P23=1,EST!H23,EST!B23))</f>
        <v>OFF</v>
      </c>
      <c r="C23" t="str">
        <f>IFERROR(_xlfn.LET(_xlpm.s,SUBSTITUTE(IF(EST!$P23=1,EST!B23,EST!C23)," ",""),IF(_xlpm.s="OFF","OFF",TEXT(MOD(TIMEVALUE(_xlfn.TEXTBEFORE(_xlpm.s,"-"))+0.5,1),"hh:mm")&amp;" - "&amp;TEXT(MOD(TIMEVALUE(_xlfn.TEXTAFTER(_xlpm.s,"-"))+0.5,1),"hh:mm"))),IF(EST!$P23=1,EST!B23,EST!C23))</f>
        <v>22:00 - 09:00</v>
      </c>
      <c r="D23" t="str">
        <f>IFERROR(_xlfn.LET(_xlpm.s,SUBSTITUTE(IF(EST!$P23=1,EST!C23,EST!D23)," ",""),IF(_xlpm.s="OFF","OFF",TEXT(MOD(TIMEVALUE(_xlfn.TEXTBEFORE(_xlpm.s,"-"))+0.5,1),"hh:mm")&amp;" - "&amp;TEXT(MOD(TIMEVALUE(_xlfn.TEXTAFTER(_xlpm.s,"-"))+0.5,1),"hh:mm"))),IF(EST!$P23=1,EST!C23,EST!D23))</f>
        <v>22:00 - 09:00</v>
      </c>
      <c r="E23" t="str">
        <f>IFERROR(_xlfn.LET(_xlpm.s,SUBSTITUTE(IF(EST!$P23=1,EST!D23,EST!E23)," ",""),IF(_xlpm.s="OFF","OFF",TEXT(MOD(TIMEVALUE(_xlfn.TEXTBEFORE(_xlpm.s,"-"))+0.5,1),"hh:mm")&amp;" - "&amp;TEXT(MOD(TIMEVALUE(_xlfn.TEXTAFTER(_xlpm.s,"-"))+0.5,1),"hh:mm"))),IF(EST!$P23=1,EST!D23,EST!E23))</f>
        <v>22:00 - 09:00</v>
      </c>
      <c r="F23" t="str">
        <f>IFERROR(_xlfn.LET(_xlpm.s,SUBSTITUTE(IF(EST!$P23=1,EST!E23,EST!F23)," ",""),IF(_xlpm.s="OFF","OFF",TEXT(MOD(TIMEVALUE(_xlfn.TEXTBEFORE(_xlpm.s,"-"))+0.5,1),"hh:mm")&amp;" - "&amp;TEXT(MOD(TIMEVALUE(_xlfn.TEXTAFTER(_xlpm.s,"-"))+0.5,1),"hh:mm"))),IF(EST!$P23=1,EST!E23,EST!F23))</f>
        <v>22:00 - 09:00</v>
      </c>
      <c r="G23" t="str">
        <f>IFERROR(_xlfn.LET(_xlpm.s,SUBSTITUTE(IF(EST!$P23=1,EST!F23,EST!G23)," ",""),IF(_xlpm.s="OFF","OFF",TEXT(MOD(TIMEVALUE(_xlfn.TEXTBEFORE(_xlpm.s,"-"))+0.5,1),"hh:mm")&amp;" - "&amp;TEXT(MOD(TIMEVALUE(_xlfn.TEXTAFTER(_xlpm.s,"-"))+0.5,1),"hh:mm"))),IF(EST!$P23=1,EST!F23,EST!G23))</f>
        <v>OFF</v>
      </c>
      <c r="H23" t="str">
        <f>IFERROR(_xlfn.LET(_xlpm.s,SUBSTITUTE(IF(EST!$P23=1,EST!G23,EST!H23)," ",""),IF(_xlpm.s="OFF","OFF",TEXT(MOD(TIMEVALUE(_xlfn.TEXTBEFORE(_xlpm.s,"-"))+0.5,1),"hh:mm")&amp;" - "&amp;TEXT(MOD(TIMEVALUE(_xlfn.TEXTAFTER(_xlpm.s,"-"))+0.5,1),"hh:mm"))),IF(EST!$P23=1,EST!G23,EST!H23))</f>
        <v>OFF</v>
      </c>
      <c r="I23" t="str">
        <f t="shared" si="1"/>
        <v>Mon - Sat - Sun</v>
      </c>
      <c r="J23" s="38">
        <f>MOD(EST!J23+TIME(12,0,0),1)</f>
        <v>1.0416666666666519E-2</v>
      </c>
      <c r="K23" s="38">
        <f>MOD(EST!K23+TIME(12,0,0),1)</f>
        <v>9.375E-2</v>
      </c>
      <c r="L23" s="38">
        <f>MOD(EST!L23+TIME(12,0,0),1)</f>
        <v>0.1875</v>
      </c>
      <c r="M23" s="38">
        <f>MOD(EST!M23+TIME(12,0,0),1)</f>
        <v>0.3125</v>
      </c>
      <c r="N23" t="str">
        <f>EST!N23</f>
        <v>Michael Dominguez</v>
      </c>
    </row>
    <row r="24" spans="1:14" x14ac:dyDescent="0.3">
      <c r="A24" t="str">
        <f>EST!A24</f>
        <v>JAMES MATTHEW SANTOS</v>
      </c>
      <c r="B24" t="str">
        <f>IFERROR(_xlfn.LET(_xlpm.s,SUBSTITUTE(IF(EST!$P24=1,EST!H24,EST!B24)," ",""),IF(_xlpm.s="OFF","OFF",TEXT(MOD(TIMEVALUE(_xlfn.TEXTBEFORE(_xlpm.s,"-"))+0.5,1),"hh:mm")&amp;" - "&amp;TEXT(MOD(TIMEVALUE(_xlfn.TEXTAFTER(_xlpm.s,"-"))+0.5,1),"hh:mm"))),IF(EST!$P24=1,EST!H24,EST!B24))</f>
        <v>20:00 - 07:00</v>
      </c>
      <c r="C24" t="str">
        <f>IFERROR(_xlfn.LET(_xlpm.s,SUBSTITUTE(IF(EST!$P24=1,EST!B24,EST!C24)," ",""),IF(_xlpm.s="OFF","OFF",TEXT(MOD(TIMEVALUE(_xlfn.TEXTBEFORE(_xlpm.s,"-"))+0.5,1),"hh:mm")&amp;" - "&amp;TEXT(MOD(TIMEVALUE(_xlfn.TEXTAFTER(_xlpm.s,"-"))+0.5,1),"hh:mm"))),IF(EST!$P24=1,EST!B24,EST!C24))</f>
        <v>20:00 - 07:00</v>
      </c>
      <c r="D24" t="str">
        <f>IFERROR(_xlfn.LET(_xlpm.s,SUBSTITUTE(IF(EST!$P24=1,EST!C24,EST!D24)," ",""),IF(_xlpm.s="OFF","OFF",TEXT(MOD(TIMEVALUE(_xlfn.TEXTBEFORE(_xlpm.s,"-"))+0.5,1),"hh:mm")&amp;" - "&amp;TEXT(MOD(TIMEVALUE(_xlfn.TEXTAFTER(_xlpm.s,"-"))+0.5,1),"hh:mm"))),IF(EST!$P24=1,EST!C24,EST!D24))</f>
        <v>OFF</v>
      </c>
      <c r="E24" t="str">
        <f>IFERROR(_xlfn.LET(_xlpm.s,SUBSTITUTE(IF(EST!$P24=1,EST!D24,EST!E24)," ",""),IF(_xlpm.s="OFF","OFF",TEXT(MOD(TIMEVALUE(_xlfn.TEXTBEFORE(_xlpm.s,"-"))+0.5,1),"hh:mm")&amp;" - "&amp;TEXT(MOD(TIMEVALUE(_xlfn.TEXTAFTER(_xlpm.s,"-"))+0.5,1),"hh:mm"))),IF(EST!$P24=1,EST!D24,EST!E24))</f>
        <v>20:00 - 07:00</v>
      </c>
      <c r="F24" t="str">
        <f>IFERROR(_xlfn.LET(_xlpm.s,SUBSTITUTE(IF(EST!$P24=1,EST!E24,EST!F24)," ",""),IF(_xlpm.s="OFF","OFF",TEXT(MOD(TIMEVALUE(_xlfn.TEXTBEFORE(_xlpm.s,"-"))+0.5,1),"hh:mm")&amp;" - "&amp;TEXT(MOD(TIMEVALUE(_xlfn.TEXTAFTER(_xlpm.s,"-"))+0.5,1),"hh:mm"))),IF(EST!$P24=1,EST!E24,EST!F24))</f>
        <v>20:00 - 07:00</v>
      </c>
      <c r="G24" t="str">
        <f>IFERROR(_xlfn.LET(_xlpm.s,SUBSTITUTE(IF(EST!$P24=1,EST!F24,EST!G24)," ",""),IF(_xlpm.s="OFF","OFF",TEXT(MOD(TIMEVALUE(_xlfn.TEXTBEFORE(_xlpm.s,"-"))+0.5,1),"hh:mm")&amp;" - "&amp;TEXT(MOD(TIMEVALUE(_xlfn.TEXTAFTER(_xlpm.s,"-"))+0.5,1),"hh:mm"))),IF(EST!$P24=1,EST!F24,EST!G24))</f>
        <v>OFF</v>
      </c>
      <c r="H24" t="str">
        <f>IFERROR(_xlfn.LET(_xlpm.s,SUBSTITUTE(IF(EST!$P24=1,EST!G24,EST!H24)," ",""),IF(_xlpm.s="OFF","OFF",TEXT(MOD(TIMEVALUE(_xlfn.TEXTBEFORE(_xlpm.s,"-"))+0.5,1),"hh:mm")&amp;" - "&amp;TEXT(MOD(TIMEVALUE(_xlfn.TEXTAFTER(_xlpm.s,"-"))+0.5,1),"hh:mm"))),IF(EST!$P24=1,EST!G24,EST!H24))</f>
        <v>OFF</v>
      </c>
      <c r="I24" t="str">
        <f t="shared" si="1"/>
        <v>Wed - Sat - Sun</v>
      </c>
      <c r="J24" s="38">
        <f>MOD(EST!J24+TIME(12,0,0),1)</f>
        <v>0.92708333333333326</v>
      </c>
      <c r="K24" s="38">
        <f>MOD(EST!K24+TIME(12,0,0),1)</f>
        <v>0.15625</v>
      </c>
      <c r="L24" s="38">
        <f>MOD(EST!L24+TIME(12,0,0),1)</f>
        <v>3.125E-2</v>
      </c>
      <c r="M24" s="38">
        <f>MOD(EST!M24+TIME(12,0,0),1)</f>
        <v>0.25</v>
      </c>
      <c r="N24" t="str">
        <f>EST!N24</f>
        <v>Remmo Panaligan</v>
      </c>
    </row>
    <row r="25" spans="1:14" x14ac:dyDescent="0.3">
      <c r="A25" t="str">
        <f>EST!A25</f>
        <v>JAYSON PESCADERO</v>
      </c>
      <c r="B25" t="str">
        <f>IFERROR(_xlfn.LET(_xlpm.s,SUBSTITUTE(IF(EST!$P25=1,EST!H25,EST!B25)," ",""),IF(_xlpm.s="OFF","OFF",TEXT(MOD(TIMEVALUE(_xlfn.TEXTBEFORE(_xlpm.s,"-"))+0.5,1),"hh:mm")&amp;" - "&amp;TEXT(MOD(TIMEVALUE(_xlfn.TEXTAFTER(_xlpm.s,"-"))+0.5,1),"hh:mm"))),IF(EST!$P25=1,EST!H25,EST!B25))</f>
        <v>23:00 - 10:00</v>
      </c>
      <c r="C25" t="str">
        <f>IFERROR(_xlfn.LET(_xlpm.s,SUBSTITUTE(IF(EST!$P25=1,EST!B25,EST!C25)," ",""),IF(_xlpm.s="OFF","OFF",TEXT(MOD(TIMEVALUE(_xlfn.TEXTBEFORE(_xlpm.s,"-"))+0.5,1),"hh:mm")&amp;" - "&amp;TEXT(MOD(TIMEVALUE(_xlfn.TEXTAFTER(_xlpm.s,"-"))+0.5,1),"hh:mm"))),IF(EST!$P25=1,EST!B25,EST!C25))</f>
        <v>23:00 - 10:00</v>
      </c>
      <c r="D25" t="str">
        <f>IFERROR(_xlfn.LET(_xlpm.s,SUBSTITUTE(IF(EST!$P25=1,EST!C25,EST!D25)," ",""),IF(_xlpm.s="OFF","OFF",TEXT(MOD(TIMEVALUE(_xlfn.TEXTBEFORE(_xlpm.s,"-"))+0.5,1),"hh:mm")&amp;" - "&amp;TEXT(MOD(TIMEVALUE(_xlfn.TEXTAFTER(_xlpm.s,"-"))+0.5,1),"hh:mm"))),IF(EST!$P25=1,EST!C25,EST!D25))</f>
        <v>23:00 - 10:00</v>
      </c>
      <c r="E25" t="str">
        <f>IFERROR(_xlfn.LET(_xlpm.s,SUBSTITUTE(IF(EST!$P25=1,EST!D25,EST!E25)," ",""),IF(_xlpm.s="OFF","OFF",TEXT(MOD(TIMEVALUE(_xlfn.TEXTBEFORE(_xlpm.s,"-"))+0.5,1),"hh:mm")&amp;" - "&amp;TEXT(MOD(TIMEVALUE(_xlfn.TEXTAFTER(_xlpm.s,"-"))+0.5,1),"hh:mm"))),IF(EST!$P25=1,EST!D25,EST!E25))</f>
        <v>23:00 - 10:00</v>
      </c>
      <c r="F25" t="str">
        <f>IFERROR(_xlfn.LET(_xlpm.s,SUBSTITUTE(IF(EST!$P25=1,EST!E25,EST!F25)," ",""),IF(_xlpm.s="OFF","OFF",TEXT(MOD(TIMEVALUE(_xlfn.TEXTBEFORE(_xlpm.s,"-"))+0.5,1),"hh:mm")&amp;" - "&amp;TEXT(MOD(TIMEVALUE(_xlfn.TEXTAFTER(_xlpm.s,"-"))+0.5,1),"hh:mm"))),IF(EST!$P25=1,EST!E25,EST!F25))</f>
        <v>OFF</v>
      </c>
      <c r="G25" t="str">
        <f>IFERROR(_xlfn.LET(_xlpm.s,SUBSTITUTE(IF(EST!$P25=1,EST!F25,EST!G25)," ",""),IF(_xlpm.s="OFF","OFF",TEXT(MOD(TIMEVALUE(_xlfn.TEXTBEFORE(_xlpm.s,"-"))+0.5,1),"hh:mm")&amp;" - "&amp;TEXT(MOD(TIMEVALUE(_xlfn.TEXTAFTER(_xlpm.s,"-"))+0.5,1),"hh:mm"))),IF(EST!$P25=1,EST!F25,EST!G25))</f>
        <v>OFF</v>
      </c>
      <c r="H25" t="str">
        <f>IFERROR(_xlfn.LET(_xlpm.s,SUBSTITUTE(IF(EST!$P25=1,EST!G25,EST!H25)," ",""),IF(_xlpm.s="OFF","OFF",TEXT(MOD(TIMEVALUE(_xlfn.TEXTBEFORE(_xlpm.s,"-"))+0.5,1),"hh:mm")&amp;" - "&amp;TEXT(MOD(TIMEVALUE(_xlfn.TEXTAFTER(_xlpm.s,"-"))+0.5,1),"hh:mm"))),IF(EST!$P25=1,EST!G25,EST!H25))</f>
        <v>OFF</v>
      </c>
      <c r="I25" t="str">
        <f t="shared" si="1"/>
        <v>Fri - Sat - Sun</v>
      </c>
      <c r="J25" s="38">
        <f>MOD(EST!J25+TIME(12,0,0),1)</f>
        <v>4.1666666666666519E-2</v>
      </c>
      <c r="K25" s="38">
        <f>MOD(EST!K25+TIME(12,0,0),1)</f>
        <v>0.26041666666666652</v>
      </c>
      <c r="L25" s="38">
        <f>MOD(EST!L25+TIME(12,0,0),1)</f>
        <v>0.13541666666666652</v>
      </c>
      <c r="M25" s="38">
        <f>MOD(EST!M25+TIME(12,0,0),1)</f>
        <v>0.36458333333333348</v>
      </c>
      <c r="N25" t="str">
        <f>EST!N25</f>
        <v>Remmo Panaligan</v>
      </c>
    </row>
    <row r="26" spans="1:14" x14ac:dyDescent="0.3">
      <c r="A26" t="str">
        <f>EST!A26</f>
        <v>JEFFRYL JOE PADRILLO</v>
      </c>
      <c r="B26" t="str">
        <f>IFERROR(_xlfn.LET(_xlpm.s,SUBSTITUTE(IF(EST!$P26=1,EST!H26,EST!B26)," ",""),IF(_xlpm.s="OFF","OFF",TEXT(MOD(TIMEVALUE(_xlfn.TEXTBEFORE(_xlpm.s,"-"))+0.5,1),"hh:mm")&amp;" - "&amp;TEXT(MOD(TIMEVALUE(_xlfn.TEXTAFTER(_xlpm.s,"-"))+0.5,1),"hh:mm"))),IF(EST!$P26=1,EST!H26,EST!B26))</f>
        <v>14:00 - 01:00</v>
      </c>
      <c r="C26" t="str">
        <f>IFERROR(_xlfn.LET(_xlpm.s,SUBSTITUTE(IF(EST!$P26=1,EST!B26,EST!C26)," ",""),IF(_xlpm.s="OFF","OFF",TEXT(MOD(TIMEVALUE(_xlfn.TEXTBEFORE(_xlpm.s,"-"))+0.5,1),"hh:mm")&amp;" - "&amp;TEXT(MOD(TIMEVALUE(_xlfn.TEXTAFTER(_xlpm.s,"-"))+0.5,1),"hh:mm"))),IF(EST!$P26=1,EST!B26,EST!C26))</f>
        <v>14:00 - 01:00</v>
      </c>
      <c r="D26" t="str">
        <f>IFERROR(_xlfn.LET(_xlpm.s,SUBSTITUTE(IF(EST!$P26=1,EST!C26,EST!D26)," ",""),IF(_xlpm.s="OFF","OFF",TEXT(MOD(TIMEVALUE(_xlfn.TEXTBEFORE(_xlpm.s,"-"))+0.5,1),"hh:mm")&amp;" - "&amp;TEXT(MOD(TIMEVALUE(_xlfn.TEXTAFTER(_xlpm.s,"-"))+0.5,1),"hh:mm"))),IF(EST!$P26=1,EST!C26,EST!D26))</f>
        <v>14:00 - 01:00</v>
      </c>
      <c r="E26" t="str">
        <f>IFERROR(_xlfn.LET(_xlpm.s,SUBSTITUTE(IF(EST!$P26=1,EST!D26,EST!E26)," ",""),IF(_xlpm.s="OFF","OFF",TEXT(MOD(TIMEVALUE(_xlfn.TEXTBEFORE(_xlpm.s,"-"))+0.5,1),"hh:mm")&amp;" - "&amp;TEXT(MOD(TIMEVALUE(_xlfn.TEXTAFTER(_xlpm.s,"-"))+0.5,1),"hh:mm"))),IF(EST!$P26=1,EST!D26,EST!E26))</f>
        <v>OFF</v>
      </c>
      <c r="F26" t="str">
        <f>IFERROR(_xlfn.LET(_xlpm.s,SUBSTITUTE(IF(EST!$P26=1,EST!E26,EST!F26)," ",""),IF(_xlpm.s="OFF","OFF",TEXT(MOD(TIMEVALUE(_xlfn.TEXTBEFORE(_xlpm.s,"-"))+0.5,1),"hh:mm")&amp;" - "&amp;TEXT(MOD(TIMEVALUE(_xlfn.TEXTAFTER(_xlpm.s,"-"))+0.5,1),"hh:mm"))),IF(EST!$P26=1,EST!E26,EST!F26))</f>
        <v>OFF</v>
      </c>
      <c r="G26" t="str">
        <f>IFERROR(_xlfn.LET(_xlpm.s,SUBSTITUTE(IF(EST!$P26=1,EST!F26,EST!G26)," ",""),IF(_xlpm.s="OFF","OFF",TEXT(MOD(TIMEVALUE(_xlfn.TEXTBEFORE(_xlpm.s,"-"))+0.5,1),"hh:mm")&amp;" - "&amp;TEXT(MOD(TIMEVALUE(_xlfn.TEXTAFTER(_xlpm.s,"-"))+0.5,1),"hh:mm"))),IF(EST!$P26=1,EST!F26,EST!G26))</f>
        <v>OFF</v>
      </c>
      <c r="H26" t="str">
        <f>IFERROR(_xlfn.LET(_xlpm.s,SUBSTITUTE(IF(EST!$P26=1,EST!G26,EST!H26)," ",""),IF(_xlpm.s="OFF","OFF",TEXT(MOD(TIMEVALUE(_xlfn.TEXTBEFORE(_xlpm.s,"-"))+0.5,1),"hh:mm")&amp;" - "&amp;TEXT(MOD(TIMEVALUE(_xlfn.TEXTAFTER(_xlpm.s,"-"))+0.5,1),"hh:mm"))),IF(EST!$P26=1,EST!G26,EST!H26))</f>
        <v>14:00 - 01:00</v>
      </c>
      <c r="I26" t="str">
        <f t="shared" si="1"/>
        <v>Thu - Fri - Sat</v>
      </c>
      <c r="J26" s="38">
        <f>MOD(EST!J26+TIME(12,0,0),1)</f>
        <v>0.65625</v>
      </c>
      <c r="K26" s="38">
        <f>MOD(EST!K26+TIME(12,0,0),1)</f>
        <v>0.875</v>
      </c>
      <c r="L26" s="38">
        <f>MOD(EST!L26+TIME(12,0,0),1)</f>
        <v>0.75</v>
      </c>
      <c r="M26" s="38">
        <f>MOD(EST!M26+TIME(12,0,0),1)</f>
        <v>0.97916666666666674</v>
      </c>
      <c r="N26" t="str">
        <f>EST!N26</f>
        <v>Christopher Rodas</v>
      </c>
    </row>
    <row r="27" spans="1:14" x14ac:dyDescent="0.3">
      <c r="A27" t="str">
        <f>EST!A27</f>
        <v>JESSE OWEN RAMA</v>
      </c>
      <c r="B27" t="str">
        <f>IFERROR(_xlfn.LET(_xlpm.s,SUBSTITUTE(IF(EST!$P27=1,EST!H27,EST!B27)," ",""),IF(_xlpm.s="OFF","OFF",TEXT(MOD(TIMEVALUE(_xlfn.TEXTBEFORE(_xlpm.s,"-"))+0.5,1),"hh:mm")&amp;" - "&amp;TEXT(MOD(TIMEVALUE(_xlfn.TEXTAFTER(_xlpm.s,"-"))+0.5,1),"hh:mm"))),IF(EST!$P27=1,EST!H27,EST!B27))</f>
        <v>10:00 - 21:00</v>
      </c>
      <c r="C27" t="str">
        <f>IFERROR(_xlfn.LET(_xlpm.s,SUBSTITUTE(IF(EST!$P27=1,EST!B27,EST!C27)," ",""),IF(_xlpm.s="OFF","OFF",TEXT(MOD(TIMEVALUE(_xlfn.TEXTBEFORE(_xlpm.s,"-"))+0.5,1),"hh:mm")&amp;" - "&amp;TEXT(MOD(TIMEVALUE(_xlfn.TEXTAFTER(_xlpm.s,"-"))+0.5,1),"hh:mm"))),IF(EST!$P27=1,EST!B27,EST!C27))</f>
        <v>10:00 - 21:00</v>
      </c>
      <c r="D27" t="str">
        <f>IFERROR(_xlfn.LET(_xlpm.s,SUBSTITUTE(IF(EST!$P27=1,EST!C27,EST!D27)," ",""),IF(_xlpm.s="OFF","OFF",TEXT(MOD(TIMEVALUE(_xlfn.TEXTBEFORE(_xlpm.s,"-"))+0.5,1),"hh:mm")&amp;" - "&amp;TEXT(MOD(TIMEVALUE(_xlfn.TEXTAFTER(_xlpm.s,"-"))+0.5,1),"hh:mm"))),IF(EST!$P27=1,EST!C27,EST!D27))</f>
        <v>OFF</v>
      </c>
      <c r="E27" t="str">
        <f>IFERROR(_xlfn.LET(_xlpm.s,SUBSTITUTE(IF(EST!$P27=1,EST!D27,EST!E27)," ",""),IF(_xlpm.s="OFF","OFF",TEXT(MOD(TIMEVALUE(_xlfn.TEXTBEFORE(_xlpm.s,"-"))+0.5,1),"hh:mm")&amp;" - "&amp;TEXT(MOD(TIMEVALUE(_xlfn.TEXTAFTER(_xlpm.s,"-"))+0.5,1),"hh:mm"))),IF(EST!$P27=1,EST!D27,EST!E27))</f>
        <v>10:00 - 21:00</v>
      </c>
      <c r="F27" t="str">
        <f>IFERROR(_xlfn.LET(_xlpm.s,SUBSTITUTE(IF(EST!$P27=1,EST!E27,EST!F27)," ",""),IF(_xlpm.s="OFF","OFF",TEXT(MOD(TIMEVALUE(_xlfn.TEXTBEFORE(_xlpm.s,"-"))+0.5,1),"hh:mm")&amp;" - "&amp;TEXT(MOD(TIMEVALUE(_xlfn.TEXTAFTER(_xlpm.s,"-"))+0.5,1),"hh:mm"))),IF(EST!$P27=1,EST!E27,EST!F27))</f>
        <v>10:00 - 21:00</v>
      </c>
      <c r="G27" t="str">
        <f>IFERROR(_xlfn.LET(_xlpm.s,SUBSTITUTE(IF(EST!$P27=1,EST!F27,EST!G27)," ",""),IF(_xlpm.s="OFF","OFF",TEXT(MOD(TIMEVALUE(_xlfn.TEXTBEFORE(_xlpm.s,"-"))+0.5,1),"hh:mm")&amp;" - "&amp;TEXT(MOD(TIMEVALUE(_xlfn.TEXTAFTER(_xlpm.s,"-"))+0.5,1),"hh:mm"))),IF(EST!$P27=1,EST!F27,EST!G27))</f>
        <v>OFF</v>
      </c>
      <c r="H27" t="str">
        <f>IFERROR(_xlfn.LET(_xlpm.s,SUBSTITUTE(IF(EST!$P27=1,EST!G27,EST!H27)," ",""),IF(_xlpm.s="OFF","OFF",TEXT(MOD(TIMEVALUE(_xlfn.TEXTBEFORE(_xlpm.s,"-"))+0.5,1),"hh:mm")&amp;" - "&amp;TEXT(MOD(TIMEVALUE(_xlfn.TEXTAFTER(_xlpm.s,"-"))+0.5,1),"hh:mm"))),IF(EST!$P27=1,EST!G27,EST!H27))</f>
        <v>OFF</v>
      </c>
      <c r="I27" t="str">
        <f t="shared" si="1"/>
        <v>Wed - Sat - Sun</v>
      </c>
      <c r="J27" s="38">
        <f>MOD(EST!J27+TIME(12,0,0),1)</f>
        <v>0.66666666666666663</v>
      </c>
      <c r="K27" s="38">
        <f>MOD(EST!K27+TIME(12,0,0),1)</f>
        <v>0.76041666666666674</v>
      </c>
      <c r="L27" s="38">
        <f>MOD(EST!L27+TIME(12,0,0),1)</f>
        <v>0.54166666666666663</v>
      </c>
      <c r="M27" s="38">
        <f>MOD(EST!M27+TIME(12,0,0),1)</f>
        <v>0.83333333333333326</v>
      </c>
      <c r="N27" t="str">
        <f>EST!N27</f>
        <v>Manilyn Abellar</v>
      </c>
    </row>
    <row r="28" spans="1:14" x14ac:dyDescent="0.3">
      <c r="A28" t="str">
        <f>EST!A28</f>
        <v>JEYCEL ROXAS</v>
      </c>
      <c r="B28" t="str">
        <f>IFERROR(_xlfn.LET(_xlpm.s,SUBSTITUTE(IF(EST!$P28=1,EST!H28,EST!B28)," ",""),IF(_xlpm.s="OFF","OFF",TEXT(MOD(TIMEVALUE(_xlfn.TEXTBEFORE(_xlpm.s,"-"))+0.5,1),"hh:mm")&amp;" - "&amp;TEXT(MOD(TIMEVALUE(_xlfn.TEXTAFTER(_xlpm.s,"-"))+0.5,1),"hh:mm"))),IF(EST!$P28=1,EST!H28,EST!B28))</f>
        <v>20:00 - 07:00</v>
      </c>
      <c r="C28" t="str">
        <f>IFERROR(_xlfn.LET(_xlpm.s,SUBSTITUTE(IF(EST!$P28=1,EST!B28,EST!C28)," ",""),IF(_xlpm.s="OFF","OFF",TEXT(MOD(TIMEVALUE(_xlfn.TEXTBEFORE(_xlpm.s,"-"))+0.5,1),"hh:mm")&amp;" - "&amp;TEXT(MOD(TIMEVALUE(_xlfn.TEXTAFTER(_xlpm.s,"-"))+0.5,1),"hh:mm"))),IF(EST!$P28=1,EST!B28,EST!C28))</f>
        <v>OFF</v>
      </c>
      <c r="D28" t="str">
        <f>IFERROR(_xlfn.LET(_xlpm.s,SUBSTITUTE(IF(EST!$P28=1,EST!C28,EST!D28)," ",""),IF(_xlpm.s="OFF","OFF",TEXT(MOD(TIMEVALUE(_xlfn.TEXTBEFORE(_xlpm.s,"-"))+0.5,1),"hh:mm")&amp;" - "&amp;TEXT(MOD(TIMEVALUE(_xlfn.TEXTAFTER(_xlpm.s,"-"))+0.5,1),"hh:mm"))),IF(EST!$P28=1,EST!C28,EST!D28))</f>
        <v>20:00 - 07:00</v>
      </c>
      <c r="E28" t="str">
        <f>IFERROR(_xlfn.LET(_xlpm.s,SUBSTITUTE(IF(EST!$P28=1,EST!D28,EST!E28)," ",""),IF(_xlpm.s="OFF","OFF",TEXT(MOD(TIMEVALUE(_xlfn.TEXTBEFORE(_xlpm.s,"-"))+0.5,1),"hh:mm")&amp;" - "&amp;TEXT(MOD(TIMEVALUE(_xlfn.TEXTAFTER(_xlpm.s,"-"))+0.5,1),"hh:mm"))),IF(EST!$P28=1,EST!D28,EST!E28))</f>
        <v>20:00 - 07:00</v>
      </c>
      <c r="F28" t="str">
        <f>IFERROR(_xlfn.LET(_xlpm.s,SUBSTITUTE(IF(EST!$P28=1,EST!E28,EST!F28)," ",""),IF(_xlpm.s="OFF","OFF",TEXT(MOD(TIMEVALUE(_xlfn.TEXTBEFORE(_xlpm.s,"-"))+0.5,1),"hh:mm")&amp;" - "&amp;TEXT(MOD(TIMEVALUE(_xlfn.TEXTAFTER(_xlpm.s,"-"))+0.5,1),"hh:mm"))),IF(EST!$P28=1,EST!E28,EST!F28))</f>
        <v>20:00 - 07:00</v>
      </c>
      <c r="G28" t="str">
        <f>IFERROR(_xlfn.LET(_xlpm.s,SUBSTITUTE(IF(EST!$P28=1,EST!F28,EST!G28)," ",""),IF(_xlpm.s="OFF","OFF",TEXT(MOD(TIMEVALUE(_xlfn.TEXTBEFORE(_xlpm.s,"-"))+0.5,1),"hh:mm")&amp;" - "&amp;TEXT(MOD(TIMEVALUE(_xlfn.TEXTAFTER(_xlpm.s,"-"))+0.5,1),"hh:mm"))),IF(EST!$P28=1,EST!F28,EST!G28))</f>
        <v>OFF</v>
      </c>
      <c r="H28" t="str">
        <f>IFERROR(_xlfn.LET(_xlpm.s,SUBSTITUTE(IF(EST!$P28=1,EST!G28,EST!H28)," ",""),IF(_xlpm.s="OFF","OFF",TEXT(MOD(TIMEVALUE(_xlfn.TEXTBEFORE(_xlpm.s,"-"))+0.5,1),"hh:mm")&amp;" - "&amp;TEXT(MOD(TIMEVALUE(_xlfn.TEXTAFTER(_xlpm.s,"-"))+0.5,1),"hh:mm"))),IF(EST!$P28=1,EST!G28,EST!H28))</f>
        <v>OFF</v>
      </c>
      <c r="I28" t="str">
        <f t="shared" si="1"/>
        <v>Tue - Sat - Sun</v>
      </c>
      <c r="J28" s="38">
        <f>MOD(EST!J28+TIME(12,0,0),1)</f>
        <v>0.91666666666666674</v>
      </c>
      <c r="K28" s="38">
        <f>MOD(EST!K28+TIME(12,0,0),1)</f>
        <v>0.14583333333333348</v>
      </c>
      <c r="L28" s="38">
        <f>MOD(EST!L28+TIME(12,0,0),1)</f>
        <v>0</v>
      </c>
      <c r="M28" s="38">
        <f>MOD(EST!M28+TIME(12,0,0),1)</f>
        <v>0.25</v>
      </c>
      <c r="N28" t="str">
        <f>EST!N28</f>
        <v>Manilyn Abellar</v>
      </c>
    </row>
    <row r="29" spans="1:14" x14ac:dyDescent="0.3">
      <c r="A29" t="str">
        <f>EST!A29</f>
        <v>JHANELLE DIDATO</v>
      </c>
      <c r="B29" t="str">
        <f>IFERROR(_xlfn.LET(_xlpm.s,SUBSTITUTE(IF(EST!$P29=1,EST!H29,EST!B29)," ",""),IF(_xlpm.s="OFF","OFF",TEXT(MOD(TIMEVALUE(_xlfn.TEXTBEFORE(_xlpm.s,"-"))+0.5,1),"hh:mm")&amp;" - "&amp;TEXT(MOD(TIMEVALUE(_xlfn.TEXTAFTER(_xlpm.s,"-"))+0.5,1),"hh:mm"))),IF(EST!$P29=1,EST!H29,EST!B29))</f>
        <v>OFF</v>
      </c>
      <c r="C29" t="str">
        <f>IFERROR(_xlfn.LET(_xlpm.s,SUBSTITUTE(IF(EST!$P29=1,EST!B29,EST!C29)," ",""),IF(_xlpm.s="OFF","OFF",TEXT(MOD(TIMEVALUE(_xlfn.TEXTBEFORE(_xlpm.s,"-"))+0.5,1),"hh:mm")&amp;" - "&amp;TEXT(MOD(TIMEVALUE(_xlfn.TEXTAFTER(_xlpm.s,"-"))+0.5,1),"hh:mm"))),IF(EST!$P29=1,EST!B29,EST!C29))</f>
        <v>OFF</v>
      </c>
      <c r="D29" t="str">
        <f>IFERROR(_xlfn.LET(_xlpm.s,SUBSTITUTE(IF(EST!$P29=1,EST!C29,EST!D29)," ",""),IF(_xlpm.s="OFF","OFF",TEXT(MOD(TIMEVALUE(_xlfn.TEXTBEFORE(_xlpm.s,"-"))+0.5,1),"hh:mm")&amp;" - "&amp;TEXT(MOD(TIMEVALUE(_xlfn.TEXTAFTER(_xlpm.s,"-"))+0.5,1),"hh:mm"))),IF(EST!$P29=1,EST!C29,EST!D29))</f>
        <v>00:00 - 11:00</v>
      </c>
      <c r="E29" t="str">
        <f>IFERROR(_xlfn.LET(_xlpm.s,SUBSTITUTE(IF(EST!$P29=1,EST!D29,EST!E29)," ",""),IF(_xlpm.s="OFF","OFF",TEXT(MOD(TIMEVALUE(_xlfn.TEXTBEFORE(_xlpm.s,"-"))+0.5,1),"hh:mm")&amp;" - "&amp;TEXT(MOD(TIMEVALUE(_xlfn.TEXTAFTER(_xlpm.s,"-"))+0.5,1),"hh:mm"))),IF(EST!$P29=1,EST!D29,EST!E29))</f>
        <v>00:00 - 11:00</v>
      </c>
      <c r="F29" t="str">
        <f>IFERROR(_xlfn.LET(_xlpm.s,SUBSTITUTE(IF(EST!$P29=1,EST!E29,EST!F29)," ",""),IF(_xlpm.s="OFF","OFF",TEXT(MOD(TIMEVALUE(_xlfn.TEXTBEFORE(_xlpm.s,"-"))+0.5,1),"hh:mm")&amp;" - "&amp;TEXT(MOD(TIMEVALUE(_xlfn.TEXTAFTER(_xlpm.s,"-"))+0.5,1),"hh:mm"))),IF(EST!$P29=1,EST!E29,EST!F29))</f>
        <v>00:00 - 11:00</v>
      </c>
      <c r="G29" t="str">
        <f>IFERROR(_xlfn.LET(_xlpm.s,SUBSTITUTE(IF(EST!$P29=1,EST!F29,EST!G29)," ",""),IF(_xlpm.s="OFF","OFF",TEXT(MOD(TIMEVALUE(_xlfn.TEXTBEFORE(_xlpm.s,"-"))+0.5,1),"hh:mm")&amp;" - "&amp;TEXT(MOD(TIMEVALUE(_xlfn.TEXTAFTER(_xlpm.s,"-"))+0.5,1),"hh:mm"))),IF(EST!$P29=1,EST!F29,EST!G29))</f>
        <v>00:00 - 11:00</v>
      </c>
      <c r="H29" t="str">
        <f>IFERROR(_xlfn.LET(_xlpm.s,SUBSTITUTE(IF(EST!$P29=1,EST!G29,EST!H29)," ",""),IF(_xlpm.s="OFF","OFF",TEXT(MOD(TIMEVALUE(_xlfn.TEXTBEFORE(_xlpm.s,"-"))+0.5,1),"hh:mm")&amp;" - "&amp;TEXT(MOD(TIMEVALUE(_xlfn.TEXTAFTER(_xlpm.s,"-"))+0.5,1),"hh:mm"))),IF(EST!$P29=1,EST!G29,EST!H29))</f>
        <v>OFF</v>
      </c>
      <c r="I29" t="str">
        <f t="shared" si="1"/>
        <v>Mon - Tue - Sun</v>
      </c>
      <c r="J29" s="38">
        <f>MOD(EST!J29+TIME(12,0,0),1)</f>
        <v>8.3333333333333481E-2</v>
      </c>
      <c r="K29" s="38">
        <f>MOD(EST!K29+TIME(12,0,0),1)</f>
        <v>0.3125</v>
      </c>
      <c r="L29" s="38">
        <f>MOD(EST!L29+TIME(12,0,0),1)</f>
        <v>0.17708333333333348</v>
      </c>
      <c r="M29" s="38">
        <f>MOD(EST!M29+TIME(12,0,0),1)</f>
        <v>0.41666666666666652</v>
      </c>
      <c r="N29" t="str">
        <f>EST!N29</f>
        <v>Manilyn Abellar</v>
      </c>
    </row>
    <row r="30" spans="1:14" x14ac:dyDescent="0.3">
      <c r="A30" t="str">
        <f>EST!A30</f>
        <v>JHONREY JOTOJOT</v>
      </c>
      <c r="B30" t="str">
        <f>IFERROR(_xlfn.LET(_xlpm.s,SUBSTITUTE(IF(EST!$P30=1,EST!H30,EST!B30)," ",""),IF(_xlpm.s="OFF","OFF",TEXT(MOD(TIMEVALUE(_xlfn.TEXTBEFORE(_xlpm.s,"-"))+0.5,1),"hh:mm")&amp;" - "&amp;TEXT(MOD(TIMEVALUE(_xlfn.TEXTAFTER(_xlpm.s,"-"))+0.5,1),"hh:mm"))),IF(EST!$P30=1,EST!H30,EST!B30))</f>
        <v>OFF</v>
      </c>
      <c r="C30" t="str">
        <f>IFERROR(_xlfn.LET(_xlpm.s,SUBSTITUTE(IF(EST!$P30=1,EST!B30,EST!C30)," ",""),IF(_xlpm.s="OFF","OFF",TEXT(MOD(TIMEVALUE(_xlfn.TEXTBEFORE(_xlpm.s,"-"))+0.5,1),"hh:mm")&amp;" - "&amp;TEXT(MOD(TIMEVALUE(_xlfn.TEXTAFTER(_xlpm.s,"-"))+0.5,1),"hh:mm"))),IF(EST!$P30=1,EST!B30,EST!C30))</f>
        <v>17:00 - 04:00</v>
      </c>
      <c r="D30" t="str">
        <f>IFERROR(_xlfn.LET(_xlpm.s,SUBSTITUTE(IF(EST!$P30=1,EST!C30,EST!D30)," ",""),IF(_xlpm.s="OFF","OFF",TEXT(MOD(TIMEVALUE(_xlfn.TEXTBEFORE(_xlpm.s,"-"))+0.5,1),"hh:mm")&amp;" - "&amp;TEXT(MOD(TIMEVALUE(_xlfn.TEXTAFTER(_xlpm.s,"-"))+0.5,1),"hh:mm"))),IF(EST!$P30=1,EST!C30,EST!D30))</f>
        <v>17:00 - 04:00</v>
      </c>
      <c r="E30" t="str">
        <f>IFERROR(_xlfn.LET(_xlpm.s,SUBSTITUTE(IF(EST!$P30=1,EST!D30,EST!E30)," ",""),IF(_xlpm.s="OFF","OFF",TEXT(MOD(TIMEVALUE(_xlfn.TEXTBEFORE(_xlpm.s,"-"))+0.5,1),"hh:mm")&amp;" - "&amp;TEXT(MOD(TIMEVALUE(_xlfn.TEXTAFTER(_xlpm.s,"-"))+0.5,1),"hh:mm"))),IF(EST!$P30=1,EST!D30,EST!E30))</f>
        <v>17:00 - 04:00</v>
      </c>
      <c r="F30" t="str">
        <f>IFERROR(_xlfn.LET(_xlpm.s,SUBSTITUTE(IF(EST!$P30=1,EST!E30,EST!F30)," ",""),IF(_xlpm.s="OFF","OFF",TEXT(MOD(TIMEVALUE(_xlfn.TEXTBEFORE(_xlpm.s,"-"))+0.5,1),"hh:mm")&amp;" - "&amp;TEXT(MOD(TIMEVALUE(_xlfn.TEXTAFTER(_xlpm.s,"-"))+0.5,1),"hh:mm"))),IF(EST!$P30=1,EST!E30,EST!F30))</f>
        <v>17:00 - 04:00</v>
      </c>
      <c r="G30" t="str">
        <f>IFERROR(_xlfn.LET(_xlpm.s,SUBSTITUTE(IF(EST!$P30=1,EST!F30,EST!G30)," ",""),IF(_xlpm.s="OFF","OFF",TEXT(MOD(TIMEVALUE(_xlfn.TEXTBEFORE(_xlpm.s,"-"))+0.5,1),"hh:mm")&amp;" - "&amp;TEXT(MOD(TIMEVALUE(_xlfn.TEXTAFTER(_xlpm.s,"-"))+0.5,1),"hh:mm"))),IF(EST!$P30=1,EST!F30,EST!G30))</f>
        <v>OFF</v>
      </c>
      <c r="H30" t="str">
        <f>IFERROR(_xlfn.LET(_xlpm.s,SUBSTITUTE(IF(EST!$P30=1,EST!G30,EST!H30)," ",""),IF(_xlpm.s="OFF","OFF",TEXT(MOD(TIMEVALUE(_xlfn.TEXTBEFORE(_xlpm.s,"-"))+0.5,1),"hh:mm")&amp;" - "&amp;TEXT(MOD(TIMEVALUE(_xlfn.TEXTAFTER(_xlpm.s,"-"))+0.5,1),"hh:mm"))),IF(EST!$P30=1,EST!G30,EST!H30))</f>
        <v>OFF</v>
      </c>
      <c r="I30" t="str">
        <f t="shared" si="1"/>
        <v>Mon - Sat - Sun</v>
      </c>
      <c r="J30" s="38">
        <f>MOD(EST!J30+TIME(12,0,0),1)</f>
        <v>0.80208333333333326</v>
      </c>
      <c r="K30" s="38">
        <f>MOD(EST!K30+TIME(12,0,0),1)</f>
        <v>0.96875</v>
      </c>
      <c r="L30" s="38">
        <f>MOD(EST!L30+TIME(12,0,0),1)</f>
        <v>0.88541666666666674</v>
      </c>
      <c r="M30" s="38">
        <f>MOD(EST!M30+TIME(12,0,0),1)</f>
        <v>8.3333333333333481E-2</v>
      </c>
      <c r="N30" t="str">
        <f>EST!N30</f>
        <v>Manilyn Abellar</v>
      </c>
    </row>
    <row r="31" spans="1:14" x14ac:dyDescent="0.3">
      <c r="A31" t="str">
        <f>EST!A31</f>
        <v>JIELEEN VILLEGAS</v>
      </c>
      <c r="B31" t="str">
        <f>IFERROR(_xlfn.LET(_xlpm.s,SUBSTITUTE(IF(EST!$P31=1,EST!H31,EST!B31)," ",""),IF(_xlpm.s="OFF","OFF",TEXT(MOD(TIMEVALUE(_xlfn.TEXTBEFORE(_xlpm.s,"-"))+0.5,1),"hh:mm")&amp;" - "&amp;TEXT(MOD(TIMEVALUE(_xlfn.TEXTAFTER(_xlpm.s,"-"))+0.5,1),"hh:mm"))),IF(EST!$P31=1,EST!H31,EST!B31))</f>
        <v>09:00 - 20:00</v>
      </c>
      <c r="C31" t="str">
        <f>IFERROR(_xlfn.LET(_xlpm.s,SUBSTITUTE(IF(EST!$P31=1,EST!B31,EST!C31)," ",""),IF(_xlpm.s="OFF","OFF",TEXT(MOD(TIMEVALUE(_xlfn.TEXTBEFORE(_xlpm.s,"-"))+0.5,1),"hh:mm")&amp;" - "&amp;TEXT(MOD(TIMEVALUE(_xlfn.TEXTAFTER(_xlpm.s,"-"))+0.5,1),"hh:mm"))),IF(EST!$P31=1,EST!B31,EST!C31))</f>
        <v>09:00 - 20:00</v>
      </c>
      <c r="D31" t="str">
        <f>IFERROR(_xlfn.LET(_xlpm.s,SUBSTITUTE(IF(EST!$P31=1,EST!C31,EST!D31)," ",""),IF(_xlpm.s="OFF","OFF",TEXT(MOD(TIMEVALUE(_xlfn.TEXTBEFORE(_xlpm.s,"-"))+0.5,1),"hh:mm")&amp;" - "&amp;TEXT(MOD(TIMEVALUE(_xlfn.TEXTAFTER(_xlpm.s,"-"))+0.5,1),"hh:mm"))),IF(EST!$P31=1,EST!C31,EST!D31))</f>
        <v>OFF</v>
      </c>
      <c r="E31" t="str">
        <f>IFERROR(_xlfn.LET(_xlpm.s,SUBSTITUTE(IF(EST!$P31=1,EST!D31,EST!E31)," ",""),IF(_xlpm.s="OFF","OFF",TEXT(MOD(TIMEVALUE(_xlfn.TEXTBEFORE(_xlpm.s,"-"))+0.5,1),"hh:mm")&amp;" - "&amp;TEXT(MOD(TIMEVALUE(_xlfn.TEXTAFTER(_xlpm.s,"-"))+0.5,1),"hh:mm"))),IF(EST!$P31=1,EST!D31,EST!E31))</f>
        <v>OFF</v>
      </c>
      <c r="F31" t="str">
        <f>IFERROR(_xlfn.LET(_xlpm.s,SUBSTITUTE(IF(EST!$P31=1,EST!E31,EST!F31)," ",""),IF(_xlpm.s="OFF","OFF",TEXT(MOD(TIMEVALUE(_xlfn.TEXTBEFORE(_xlpm.s,"-"))+0.5,1),"hh:mm")&amp;" - "&amp;TEXT(MOD(TIMEVALUE(_xlfn.TEXTAFTER(_xlpm.s,"-"))+0.5,1),"hh:mm"))),IF(EST!$P31=1,EST!E31,EST!F31))</f>
        <v>OFF</v>
      </c>
      <c r="G31" t="str">
        <f>IFERROR(_xlfn.LET(_xlpm.s,SUBSTITUTE(IF(EST!$P31=1,EST!F31,EST!G31)," ",""),IF(_xlpm.s="OFF","OFF",TEXT(MOD(TIMEVALUE(_xlfn.TEXTBEFORE(_xlpm.s,"-"))+0.5,1),"hh:mm")&amp;" - "&amp;TEXT(MOD(TIMEVALUE(_xlfn.TEXTAFTER(_xlpm.s,"-"))+0.5,1),"hh:mm"))),IF(EST!$P31=1,EST!F31,EST!G31))</f>
        <v>09:00 - 20:00</v>
      </c>
      <c r="H31" t="str">
        <f>IFERROR(_xlfn.LET(_xlpm.s,SUBSTITUTE(IF(EST!$P31=1,EST!G31,EST!H31)," ",""),IF(_xlpm.s="OFF","OFF",TEXT(MOD(TIMEVALUE(_xlfn.TEXTBEFORE(_xlpm.s,"-"))+0.5,1),"hh:mm")&amp;" - "&amp;TEXT(MOD(TIMEVALUE(_xlfn.TEXTAFTER(_xlpm.s,"-"))+0.5,1),"hh:mm"))),IF(EST!$P31=1,EST!G31,EST!H31))</f>
        <v>09:00 - 20:00</v>
      </c>
      <c r="I31" t="str">
        <f t="shared" si="1"/>
        <v>Wed - Thu - Fri</v>
      </c>
      <c r="J31" s="38">
        <f>MOD(EST!J31+TIME(12,0,0),1)</f>
        <v>0.45833333333333348</v>
      </c>
      <c r="K31" s="38">
        <f>MOD(EST!K31+TIME(12,0,0),1)</f>
        <v>0.5625</v>
      </c>
      <c r="L31" s="38">
        <f>MOD(EST!L31+TIME(12,0,0),1)</f>
        <v>0.66666666666666663</v>
      </c>
      <c r="M31" s="38">
        <f>MOD(EST!M31+TIME(12,0,0),1)</f>
        <v>0.79166666666666674</v>
      </c>
      <c r="N31" t="str">
        <f>EST!N31</f>
        <v>Anmecha Valencia</v>
      </c>
    </row>
    <row r="32" spans="1:14" x14ac:dyDescent="0.3">
      <c r="A32" t="str">
        <f>EST!A32</f>
        <v>JOEMIE ANN BENEDICTO</v>
      </c>
      <c r="B32" t="str">
        <f>IFERROR(_xlfn.LET(_xlpm.s,SUBSTITUTE(IF(EST!$P32=1,EST!H32,EST!B32)," ",""),IF(_xlpm.s="OFF","OFF",TEXT(MOD(TIMEVALUE(_xlfn.TEXTBEFORE(_xlpm.s,"-"))+0.5,1),"hh:mm")&amp;" - "&amp;TEXT(MOD(TIMEVALUE(_xlfn.TEXTAFTER(_xlpm.s,"-"))+0.5,1),"hh:mm"))),IF(EST!$P32=1,EST!H32,EST!B32))</f>
        <v>18:00 - 05:00</v>
      </c>
      <c r="C32" t="str">
        <f>IFERROR(_xlfn.LET(_xlpm.s,SUBSTITUTE(IF(EST!$P32=1,EST!B32,EST!C32)," ",""),IF(_xlpm.s="OFF","OFF",TEXT(MOD(TIMEVALUE(_xlfn.TEXTBEFORE(_xlpm.s,"-"))+0.5,1),"hh:mm")&amp;" - "&amp;TEXT(MOD(TIMEVALUE(_xlfn.TEXTAFTER(_xlpm.s,"-"))+0.5,1),"hh:mm"))),IF(EST!$P32=1,EST!B32,EST!C32))</f>
        <v>18:00 - 05:00</v>
      </c>
      <c r="D32" t="str">
        <f>IFERROR(_xlfn.LET(_xlpm.s,SUBSTITUTE(IF(EST!$P32=1,EST!C32,EST!D32)," ",""),IF(_xlpm.s="OFF","OFF",TEXT(MOD(TIMEVALUE(_xlfn.TEXTBEFORE(_xlpm.s,"-"))+0.5,1),"hh:mm")&amp;" - "&amp;TEXT(MOD(TIMEVALUE(_xlfn.TEXTAFTER(_xlpm.s,"-"))+0.5,1),"hh:mm"))),IF(EST!$P32=1,EST!C32,EST!D32))</f>
        <v>18:00 - 05:00</v>
      </c>
      <c r="E32" t="str">
        <f>IFERROR(_xlfn.LET(_xlpm.s,SUBSTITUTE(IF(EST!$P32=1,EST!D32,EST!E32)," ",""),IF(_xlpm.s="OFF","OFF",TEXT(MOD(TIMEVALUE(_xlfn.TEXTBEFORE(_xlpm.s,"-"))+0.5,1),"hh:mm")&amp;" - "&amp;TEXT(MOD(TIMEVALUE(_xlfn.TEXTAFTER(_xlpm.s,"-"))+0.5,1),"hh:mm"))),IF(EST!$P32=1,EST!D32,EST!E32))</f>
        <v>18:00 - 05:00</v>
      </c>
      <c r="F32" t="str">
        <f>IFERROR(_xlfn.LET(_xlpm.s,SUBSTITUTE(IF(EST!$P32=1,EST!E32,EST!F32)," ",""),IF(_xlpm.s="OFF","OFF",TEXT(MOD(TIMEVALUE(_xlfn.TEXTBEFORE(_xlpm.s,"-"))+0.5,1),"hh:mm")&amp;" - "&amp;TEXT(MOD(TIMEVALUE(_xlfn.TEXTAFTER(_xlpm.s,"-"))+0.5,1),"hh:mm"))),IF(EST!$P32=1,EST!E32,EST!F32))</f>
        <v>OFF</v>
      </c>
      <c r="G32" t="str">
        <f>IFERROR(_xlfn.LET(_xlpm.s,SUBSTITUTE(IF(EST!$P32=1,EST!F32,EST!G32)," ",""),IF(_xlpm.s="OFF","OFF",TEXT(MOD(TIMEVALUE(_xlfn.TEXTBEFORE(_xlpm.s,"-"))+0.5,1),"hh:mm")&amp;" - "&amp;TEXT(MOD(TIMEVALUE(_xlfn.TEXTAFTER(_xlpm.s,"-"))+0.5,1),"hh:mm"))),IF(EST!$P32=1,EST!F32,EST!G32))</f>
        <v>OFF</v>
      </c>
      <c r="H32" t="str">
        <f>IFERROR(_xlfn.LET(_xlpm.s,SUBSTITUTE(IF(EST!$P32=1,EST!G32,EST!H32)," ",""),IF(_xlpm.s="OFF","OFF",TEXT(MOD(TIMEVALUE(_xlfn.TEXTBEFORE(_xlpm.s,"-"))+0.5,1),"hh:mm")&amp;" - "&amp;TEXT(MOD(TIMEVALUE(_xlfn.TEXTAFTER(_xlpm.s,"-"))+0.5,1),"hh:mm"))),IF(EST!$P32=1,EST!G32,EST!H32))</f>
        <v>OFF</v>
      </c>
      <c r="I32" t="str">
        <f t="shared" si="1"/>
        <v>Fri - Sat - Sun</v>
      </c>
      <c r="J32" s="38">
        <f>MOD(EST!J32+TIME(12,0,0),1)</f>
        <v>0.83333333333333326</v>
      </c>
      <c r="K32" s="38">
        <f>MOD(EST!K32+TIME(12,0,0),1)</f>
        <v>5.2083333333333481E-2</v>
      </c>
      <c r="L32" s="38">
        <f>MOD(EST!L32+TIME(12,0,0),1)</f>
        <v>0.92708333333333326</v>
      </c>
      <c r="M32" s="38">
        <f>MOD(EST!M32+TIME(12,0,0),1)</f>
        <v>0.14583333333333348</v>
      </c>
      <c r="N32" t="str">
        <f>EST!N32</f>
        <v>Remmo Panaligan</v>
      </c>
    </row>
    <row r="33" spans="1:14" x14ac:dyDescent="0.3">
      <c r="A33" t="str">
        <f>EST!A33</f>
        <v>JOSEPH BRIAN NAGOR</v>
      </c>
      <c r="B33" t="str">
        <f>IFERROR(_xlfn.LET(_xlpm.s,SUBSTITUTE(IF(EST!$P33=1,EST!H33,EST!B33)," ",""),IF(_xlpm.s="OFF","OFF",TEXT(MOD(TIMEVALUE(_xlfn.TEXTBEFORE(_xlpm.s,"-"))+0.5,1),"hh:mm")&amp;" - "&amp;TEXT(MOD(TIMEVALUE(_xlfn.TEXTAFTER(_xlpm.s,"-"))+0.5,1),"hh:mm"))),IF(EST!$P33=1,EST!H33,EST!B33))</f>
        <v>09:00 - 20:00</v>
      </c>
      <c r="C33" t="str">
        <f>IFERROR(_xlfn.LET(_xlpm.s,SUBSTITUTE(IF(EST!$P33=1,EST!B33,EST!C33)," ",""),IF(_xlpm.s="OFF","OFF",TEXT(MOD(TIMEVALUE(_xlfn.TEXTBEFORE(_xlpm.s,"-"))+0.5,1),"hh:mm")&amp;" - "&amp;TEXT(MOD(TIMEVALUE(_xlfn.TEXTAFTER(_xlpm.s,"-"))+0.5,1),"hh:mm"))),IF(EST!$P33=1,EST!B33,EST!C33))</f>
        <v>OFF</v>
      </c>
      <c r="D33" t="str">
        <f>IFERROR(_xlfn.LET(_xlpm.s,SUBSTITUTE(IF(EST!$P33=1,EST!C33,EST!D33)," ",""),IF(_xlpm.s="OFF","OFF",TEXT(MOD(TIMEVALUE(_xlfn.TEXTBEFORE(_xlpm.s,"-"))+0.5,1),"hh:mm")&amp;" - "&amp;TEXT(MOD(TIMEVALUE(_xlfn.TEXTAFTER(_xlpm.s,"-"))+0.5,1),"hh:mm"))),IF(EST!$P33=1,EST!C33,EST!D33))</f>
        <v>OFF</v>
      </c>
      <c r="E33" t="str">
        <f>IFERROR(_xlfn.LET(_xlpm.s,SUBSTITUTE(IF(EST!$P33=1,EST!D33,EST!E33)," ",""),IF(_xlpm.s="OFF","OFF",TEXT(MOD(TIMEVALUE(_xlfn.TEXTBEFORE(_xlpm.s,"-"))+0.5,1),"hh:mm")&amp;" - "&amp;TEXT(MOD(TIMEVALUE(_xlfn.TEXTAFTER(_xlpm.s,"-"))+0.5,1),"hh:mm"))),IF(EST!$P33=1,EST!D33,EST!E33))</f>
        <v>09:00 - 20:00</v>
      </c>
      <c r="F33" t="str">
        <f>IFERROR(_xlfn.LET(_xlpm.s,SUBSTITUTE(IF(EST!$P33=1,EST!E33,EST!F33)," ",""),IF(_xlpm.s="OFF","OFF",TEXT(MOD(TIMEVALUE(_xlfn.TEXTBEFORE(_xlpm.s,"-"))+0.5,1),"hh:mm")&amp;" - "&amp;TEXT(MOD(TIMEVALUE(_xlfn.TEXTAFTER(_xlpm.s,"-"))+0.5,1),"hh:mm"))),IF(EST!$P33=1,EST!E33,EST!F33))</f>
        <v>09:00 - 20:00</v>
      </c>
      <c r="G33" t="str">
        <f>IFERROR(_xlfn.LET(_xlpm.s,SUBSTITUTE(IF(EST!$P33=1,EST!F33,EST!G33)," ",""),IF(_xlpm.s="OFF","OFF",TEXT(MOD(TIMEVALUE(_xlfn.TEXTBEFORE(_xlpm.s,"-"))+0.5,1),"hh:mm")&amp;" - "&amp;TEXT(MOD(TIMEVALUE(_xlfn.TEXTAFTER(_xlpm.s,"-"))+0.5,1),"hh:mm"))),IF(EST!$P33=1,EST!F33,EST!G33))</f>
        <v>OFF</v>
      </c>
      <c r="H33" t="str">
        <f>IFERROR(_xlfn.LET(_xlpm.s,SUBSTITUTE(IF(EST!$P33=1,EST!G33,EST!H33)," ",""),IF(_xlpm.s="OFF","OFF",TEXT(MOD(TIMEVALUE(_xlfn.TEXTBEFORE(_xlpm.s,"-"))+0.5,1),"hh:mm")&amp;" - "&amp;TEXT(MOD(TIMEVALUE(_xlfn.TEXTAFTER(_xlpm.s,"-"))+0.5,1),"hh:mm"))),IF(EST!$P33=1,EST!G33,EST!H33))</f>
        <v>09:00 - 20:00</v>
      </c>
      <c r="I33" t="str">
        <f t="shared" si="1"/>
        <v>Tue - Wed - Sat</v>
      </c>
      <c r="J33" s="38">
        <f>MOD(EST!J33+TIME(12,0,0),1)</f>
        <v>0.625</v>
      </c>
      <c r="K33" s="38">
        <f>MOD(EST!K33+TIME(12,0,0),1)</f>
        <v>0.71875</v>
      </c>
      <c r="L33" s="38">
        <f>MOD(EST!L33+TIME(12,0,0),1)</f>
        <v>0.5</v>
      </c>
      <c r="M33" s="38">
        <f>MOD(EST!M33+TIME(12,0,0),1)</f>
        <v>0.79166666666666674</v>
      </c>
      <c r="N33" t="str">
        <f>EST!N33</f>
        <v>Remmo Panaligan</v>
      </c>
    </row>
    <row r="34" spans="1:14" x14ac:dyDescent="0.3">
      <c r="A34" t="str">
        <f>EST!A34</f>
        <v>JOSEPHRAIM LAMOSTE</v>
      </c>
      <c r="B34" t="str">
        <f>IFERROR(_xlfn.LET(_xlpm.s,SUBSTITUTE(IF(EST!$P34=1,EST!H34,EST!B34)," ",""),IF(_xlpm.s="OFF","OFF",TEXT(MOD(TIMEVALUE(_xlfn.TEXTBEFORE(_xlpm.s,"-"))+0.5,1),"hh:mm")&amp;" - "&amp;TEXT(MOD(TIMEVALUE(_xlfn.TEXTAFTER(_xlpm.s,"-"))+0.5,1),"hh:mm"))),IF(EST!$P34=1,EST!H34,EST!B34))</f>
        <v>01:00 - 12:00</v>
      </c>
      <c r="C34" t="str">
        <f>IFERROR(_xlfn.LET(_xlpm.s,SUBSTITUTE(IF(EST!$P34=1,EST!B34,EST!C34)," ",""),IF(_xlpm.s="OFF","OFF",TEXT(MOD(TIMEVALUE(_xlfn.TEXTBEFORE(_xlpm.s,"-"))+0.5,1),"hh:mm")&amp;" - "&amp;TEXT(MOD(TIMEVALUE(_xlfn.TEXTAFTER(_xlpm.s,"-"))+0.5,1),"hh:mm"))),IF(EST!$P34=1,EST!B34,EST!C34))</f>
        <v>01:00 - 12:00</v>
      </c>
      <c r="D34" t="str">
        <f>IFERROR(_xlfn.LET(_xlpm.s,SUBSTITUTE(IF(EST!$P34=1,EST!C34,EST!D34)," ",""),IF(_xlpm.s="OFF","OFF",TEXT(MOD(TIMEVALUE(_xlfn.TEXTBEFORE(_xlpm.s,"-"))+0.5,1),"hh:mm")&amp;" - "&amp;TEXT(MOD(TIMEVALUE(_xlfn.TEXTAFTER(_xlpm.s,"-"))+0.5,1),"hh:mm"))),IF(EST!$P34=1,EST!C34,EST!D34))</f>
        <v>01:00 - 12:00</v>
      </c>
      <c r="E34" t="str">
        <f>IFERROR(_xlfn.LET(_xlpm.s,SUBSTITUTE(IF(EST!$P34=1,EST!D34,EST!E34)," ",""),IF(_xlpm.s="OFF","OFF",TEXT(MOD(TIMEVALUE(_xlfn.TEXTBEFORE(_xlpm.s,"-"))+0.5,1),"hh:mm")&amp;" - "&amp;TEXT(MOD(TIMEVALUE(_xlfn.TEXTAFTER(_xlpm.s,"-"))+0.5,1),"hh:mm"))),IF(EST!$P34=1,EST!D34,EST!E34))</f>
        <v>01:00 - 12:00</v>
      </c>
      <c r="F34" t="str">
        <f>IFERROR(_xlfn.LET(_xlpm.s,SUBSTITUTE(IF(EST!$P34=1,EST!E34,EST!F34)," ",""),IF(_xlpm.s="OFF","OFF",TEXT(MOD(TIMEVALUE(_xlfn.TEXTBEFORE(_xlpm.s,"-"))+0.5,1),"hh:mm")&amp;" - "&amp;TEXT(MOD(TIMEVALUE(_xlfn.TEXTAFTER(_xlpm.s,"-"))+0.5,1),"hh:mm"))),IF(EST!$P34=1,EST!E34,EST!F34))</f>
        <v>OFF</v>
      </c>
      <c r="G34" t="str">
        <f>IFERROR(_xlfn.LET(_xlpm.s,SUBSTITUTE(IF(EST!$P34=1,EST!F34,EST!G34)," ",""),IF(_xlpm.s="OFF","OFF",TEXT(MOD(TIMEVALUE(_xlfn.TEXTBEFORE(_xlpm.s,"-"))+0.5,1),"hh:mm")&amp;" - "&amp;TEXT(MOD(TIMEVALUE(_xlfn.TEXTAFTER(_xlpm.s,"-"))+0.5,1),"hh:mm"))),IF(EST!$P34=1,EST!F34,EST!G34))</f>
        <v>OFF</v>
      </c>
      <c r="H34" t="str">
        <f>IFERROR(_xlfn.LET(_xlpm.s,SUBSTITUTE(IF(EST!$P34=1,EST!G34,EST!H34)," ",""),IF(_xlpm.s="OFF","OFF",TEXT(MOD(TIMEVALUE(_xlfn.TEXTBEFORE(_xlpm.s,"-"))+0.5,1),"hh:mm")&amp;" - "&amp;TEXT(MOD(TIMEVALUE(_xlfn.TEXTAFTER(_xlpm.s,"-"))+0.5,1),"hh:mm"))),IF(EST!$P34=1,EST!G34,EST!H34))</f>
        <v>OFF</v>
      </c>
      <c r="I34" t="str">
        <f t="shared" si="1"/>
        <v>Fri - Sat - Sun</v>
      </c>
      <c r="J34" s="38">
        <f>MOD(EST!J34+TIME(12,0,0),1)</f>
        <v>0.125</v>
      </c>
      <c r="K34" s="38">
        <f>MOD(EST!K34+TIME(12,0,0),1)</f>
        <v>0.375</v>
      </c>
      <c r="L34" s="38">
        <f>MOD(EST!L34+TIME(12,0,0),1)</f>
        <v>0.25</v>
      </c>
      <c r="M34" s="38">
        <f>MOD(EST!M34+TIME(12,0,0),1)</f>
        <v>0.47916666666666652</v>
      </c>
      <c r="N34" t="str">
        <f>EST!N34</f>
        <v>Manilyn Abellar</v>
      </c>
    </row>
    <row r="35" spans="1:14" x14ac:dyDescent="0.3">
      <c r="A35" t="str">
        <f>EST!A35</f>
        <v>JOSHUA BAGAPORO</v>
      </c>
      <c r="B35" t="str">
        <f>IFERROR(_xlfn.LET(_xlpm.s,SUBSTITUTE(IF(EST!$P35=1,EST!H35,EST!B35)," ",""),IF(_xlpm.s="OFF","OFF",TEXT(MOD(TIMEVALUE(_xlfn.TEXTBEFORE(_xlpm.s,"-"))+0.5,1),"hh:mm")&amp;" - "&amp;TEXT(MOD(TIMEVALUE(_xlfn.TEXTAFTER(_xlpm.s,"-"))+0.5,1),"hh:mm"))),IF(EST!$P35=1,EST!H35,EST!B35))</f>
        <v>OFF</v>
      </c>
      <c r="C35" t="str">
        <f>IFERROR(_xlfn.LET(_xlpm.s,SUBSTITUTE(IF(EST!$P35=1,EST!B35,EST!C35)," ",""),IF(_xlpm.s="OFF","OFF",TEXT(MOD(TIMEVALUE(_xlfn.TEXTBEFORE(_xlpm.s,"-"))+0.5,1),"hh:mm")&amp;" - "&amp;TEXT(MOD(TIMEVALUE(_xlfn.TEXTAFTER(_xlpm.s,"-"))+0.5,1),"hh:mm"))),IF(EST!$P35=1,EST!B35,EST!C35))</f>
        <v>18:00 - 05:00</v>
      </c>
      <c r="D35" t="str">
        <f>IFERROR(_xlfn.LET(_xlpm.s,SUBSTITUTE(IF(EST!$P35=1,EST!C35,EST!D35)," ",""),IF(_xlpm.s="OFF","OFF",TEXT(MOD(TIMEVALUE(_xlfn.TEXTBEFORE(_xlpm.s,"-"))+0.5,1),"hh:mm")&amp;" - "&amp;TEXT(MOD(TIMEVALUE(_xlfn.TEXTAFTER(_xlpm.s,"-"))+0.5,1),"hh:mm"))),IF(EST!$P35=1,EST!C35,EST!D35))</f>
        <v>18:00 - 05:00</v>
      </c>
      <c r="E35" t="str">
        <f>IFERROR(_xlfn.LET(_xlpm.s,SUBSTITUTE(IF(EST!$P35=1,EST!D35,EST!E35)," ",""),IF(_xlpm.s="OFF","OFF",TEXT(MOD(TIMEVALUE(_xlfn.TEXTBEFORE(_xlpm.s,"-"))+0.5,1),"hh:mm")&amp;" - "&amp;TEXT(MOD(TIMEVALUE(_xlfn.TEXTAFTER(_xlpm.s,"-"))+0.5,1),"hh:mm"))),IF(EST!$P35=1,EST!D35,EST!E35))</f>
        <v>18:00 - 05:00</v>
      </c>
      <c r="F35" t="str">
        <f>IFERROR(_xlfn.LET(_xlpm.s,SUBSTITUTE(IF(EST!$P35=1,EST!E35,EST!F35)," ",""),IF(_xlpm.s="OFF","OFF",TEXT(MOD(TIMEVALUE(_xlfn.TEXTBEFORE(_xlpm.s,"-"))+0.5,1),"hh:mm")&amp;" - "&amp;TEXT(MOD(TIMEVALUE(_xlfn.TEXTAFTER(_xlpm.s,"-"))+0.5,1),"hh:mm"))),IF(EST!$P35=1,EST!E35,EST!F35))</f>
        <v>18:00 - 05:00</v>
      </c>
      <c r="G35" t="str">
        <f>IFERROR(_xlfn.LET(_xlpm.s,SUBSTITUTE(IF(EST!$P35=1,EST!F35,EST!G35)," ",""),IF(_xlpm.s="OFF","OFF",TEXT(MOD(TIMEVALUE(_xlfn.TEXTBEFORE(_xlpm.s,"-"))+0.5,1),"hh:mm")&amp;" - "&amp;TEXT(MOD(TIMEVALUE(_xlfn.TEXTAFTER(_xlpm.s,"-"))+0.5,1),"hh:mm"))),IF(EST!$P35=1,EST!F35,EST!G35))</f>
        <v>OFF</v>
      </c>
      <c r="H35" t="str">
        <f>IFERROR(_xlfn.LET(_xlpm.s,SUBSTITUTE(IF(EST!$P35=1,EST!G35,EST!H35)," ",""),IF(_xlpm.s="OFF","OFF",TEXT(MOD(TIMEVALUE(_xlfn.TEXTBEFORE(_xlpm.s,"-"))+0.5,1),"hh:mm")&amp;" - "&amp;TEXT(MOD(TIMEVALUE(_xlfn.TEXTAFTER(_xlpm.s,"-"))+0.5,1),"hh:mm"))),IF(EST!$P35=1,EST!G35,EST!H35))</f>
        <v>OFF</v>
      </c>
      <c r="I35" t="str">
        <f t="shared" si="1"/>
        <v>Mon - Sat - Sun</v>
      </c>
      <c r="J35" s="38">
        <f>MOD(EST!J35+TIME(12,0,0),1)</f>
        <v>0.84375</v>
      </c>
      <c r="K35" s="38">
        <f>MOD(EST!K35+TIME(12,0,0),1)</f>
        <v>3.125E-2</v>
      </c>
      <c r="L35" s="38">
        <f>MOD(EST!L35+TIME(12,0,0),1)</f>
        <v>0.91666666666666674</v>
      </c>
      <c r="M35" s="38">
        <f>MOD(EST!M35+TIME(12,0,0),1)</f>
        <v>0.125</v>
      </c>
      <c r="N35" t="str">
        <f>EST!N35</f>
        <v>Christopher Rodas</v>
      </c>
    </row>
    <row r="36" spans="1:14" x14ac:dyDescent="0.3">
      <c r="A36" t="str">
        <f>EST!A36</f>
        <v>JOSHUA MENDOZA</v>
      </c>
      <c r="B36" t="str">
        <f>IFERROR(_xlfn.LET(_xlpm.s,SUBSTITUTE(IF(EST!$P36=1,EST!H36,EST!B36)," ",""),IF(_xlpm.s="OFF","OFF",TEXT(MOD(TIMEVALUE(_xlfn.TEXTBEFORE(_xlpm.s,"-"))+0.5,1),"hh:mm")&amp;" - "&amp;TEXT(MOD(TIMEVALUE(_xlfn.TEXTAFTER(_xlpm.s,"-"))+0.5,1),"hh:mm"))),IF(EST!$P36=1,EST!H36,EST!B36))</f>
        <v>21:00 - 08:00</v>
      </c>
      <c r="C36" t="str">
        <f>IFERROR(_xlfn.LET(_xlpm.s,SUBSTITUTE(IF(EST!$P36=1,EST!B36,EST!C36)," ",""),IF(_xlpm.s="OFF","OFF",TEXT(MOD(TIMEVALUE(_xlfn.TEXTBEFORE(_xlpm.s,"-"))+0.5,1),"hh:mm")&amp;" - "&amp;TEXT(MOD(TIMEVALUE(_xlfn.TEXTAFTER(_xlpm.s,"-"))+0.5,1),"hh:mm"))),IF(EST!$P36=1,EST!B36,EST!C36))</f>
        <v>21:00 - 08:00</v>
      </c>
      <c r="D36" t="str">
        <f>IFERROR(_xlfn.LET(_xlpm.s,SUBSTITUTE(IF(EST!$P36=1,EST!C36,EST!D36)," ",""),IF(_xlpm.s="OFF","OFF",TEXT(MOD(TIMEVALUE(_xlfn.TEXTBEFORE(_xlpm.s,"-"))+0.5,1),"hh:mm")&amp;" - "&amp;TEXT(MOD(TIMEVALUE(_xlfn.TEXTAFTER(_xlpm.s,"-"))+0.5,1),"hh:mm"))),IF(EST!$P36=1,EST!C36,EST!D36))</f>
        <v>21:00 - 08:00</v>
      </c>
      <c r="E36" t="str">
        <f>IFERROR(_xlfn.LET(_xlpm.s,SUBSTITUTE(IF(EST!$P36=1,EST!D36,EST!E36)," ",""),IF(_xlpm.s="OFF","OFF",TEXT(MOD(TIMEVALUE(_xlfn.TEXTBEFORE(_xlpm.s,"-"))+0.5,1),"hh:mm")&amp;" - "&amp;TEXT(MOD(TIMEVALUE(_xlfn.TEXTAFTER(_xlpm.s,"-"))+0.5,1),"hh:mm"))),IF(EST!$P36=1,EST!D36,EST!E36))</f>
        <v>OFF</v>
      </c>
      <c r="F36" t="str">
        <f>IFERROR(_xlfn.LET(_xlpm.s,SUBSTITUTE(IF(EST!$P36=1,EST!E36,EST!F36)," ",""),IF(_xlpm.s="OFF","OFF",TEXT(MOD(TIMEVALUE(_xlfn.TEXTBEFORE(_xlpm.s,"-"))+0.5,1),"hh:mm")&amp;" - "&amp;TEXT(MOD(TIMEVALUE(_xlfn.TEXTAFTER(_xlpm.s,"-"))+0.5,1),"hh:mm"))),IF(EST!$P36=1,EST!E36,EST!F36))</f>
        <v>21:00 - 08:00</v>
      </c>
      <c r="G36" t="str">
        <f>IFERROR(_xlfn.LET(_xlpm.s,SUBSTITUTE(IF(EST!$P36=1,EST!F36,EST!G36)," ",""),IF(_xlpm.s="OFF","OFF",TEXT(MOD(TIMEVALUE(_xlfn.TEXTBEFORE(_xlpm.s,"-"))+0.5,1),"hh:mm")&amp;" - "&amp;TEXT(MOD(TIMEVALUE(_xlfn.TEXTAFTER(_xlpm.s,"-"))+0.5,1),"hh:mm"))),IF(EST!$P36=1,EST!F36,EST!G36))</f>
        <v>OFF</v>
      </c>
      <c r="H36" t="str">
        <f>IFERROR(_xlfn.LET(_xlpm.s,SUBSTITUTE(IF(EST!$P36=1,EST!G36,EST!H36)," ",""),IF(_xlpm.s="OFF","OFF",TEXT(MOD(TIMEVALUE(_xlfn.TEXTBEFORE(_xlpm.s,"-"))+0.5,1),"hh:mm")&amp;" - "&amp;TEXT(MOD(TIMEVALUE(_xlfn.TEXTAFTER(_xlpm.s,"-"))+0.5,1),"hh:mm"))),IF(EST!$P36=1,EST!G36,EST!H36))</f>
        <v>OFF</v>
      </c>
      <c r="I36" t="str">
        <f t="shared" si="1"/>
        <v>Thu - Sat - Sun</v>
      </c>
      <c r="J36" s="38">
        <f>MOD(EST!J36+TIME(12,0,0),1)</f>
        <v>0.95833333333333326</v>
      </c>
      <c r="K36" s="38">
        <f>MOD(EST!K36+TIME(12,0,0),1)</f>
        <v>5.2083333333333481E-2</v>
      </c>
      <c r="L36" s="38">
        <f>MOD(EST!L36+TIME(12,0,0),1)</f>
        <v>0.125</v>
      </c>
      <c r="M36" s="38">
        <f>MOD(EST!M36+TIME(12,0,0),1)</f>
        <v>0.27083333333333348</v>
      </c>
      <c r="N36" t="str">
        <f>EST!N36</f>
        <v>Anmecha Valencia</v>
      </c>
    </row>
    <row r="37" spans="1:14" x14ac:dyDescent="0.3">
      <c r="A37" t="str">
        <f>EST!A37</f>
        <v>JUVY LABONG</v>
      </c>
      <c r="B37" t="str">
        <f>IFERROR(_xlfn.LET(_xlpm.s,SUBSTITUTE(IF(EST!$P37=1,EST!H37,EST!B37)," ",""),IF(_xlpm.s="OFF","OFF",TEXT(MOD(TIMEVALUE(_xlfn.TEXTBEFORE(_xlpm.s,"-"))+0.5,1),"hh:mm")&amp;" - "&amp;TEXT(MOD(TIMEVALUE(_xlfn.TEXTAFTER(_xlpm.s,"-"))+0.5,1),"hh:mm"))),IF(EST!$P37=1,EST!H37,EST!B37))</f>
        <v>20:00 - 07:00</v>
      </c>
      <c r="C37" t="str">
        <f>IFERROR(_xlfn.LET(_xlpm.s,SUBSTITUTE(IF(EST!$P37=1,EST!B37,EST!C37)," ",""),IF(_xlpm.s="OFF","OFF",TEXT(MOD(TIMEVALUE(_xlfn.TEXTBEFORE(_xlpm.s,"-"))+0.5,1),"hh:mm")&amp;" - "&amp;TEXT(MOD(TIMEVALUE(_xlfn.TEXTAFTER(_xlpm.s,"-"))+0.5,1),"hh:mm"))),IF(EST!$P37=1,EST!B37,EST!C37))</f>
        <v>OFF</v>
      </c>
      <c r="D37" t="str">
        <f>IFERROR(_xlfn.LET(_xlpm.s,SUBSTITUTE(IF(EST!$P37=1,EST!C37,EST!D37)," ",""),IF(_xlpm.s="OFF","OFF",TEXT(MOD(TIMEVALUE(_xlfn.TEXTBEFORE(_xlpm.s,"-"))+0.5,1),"hh:mm")&amp;" - "&amp;TEXT(MOD(TIMEVALUE(_xlfn.TEXTAFTER(_xlpm.s,"-"))+0.5,1),"hh:mm"))),IF(EST!$P37=1,EST!C37,EST!D37))</f>
        <v>20:00 - 07:00</v>
      </c>
      <c r="E37" t="str">
        <f>IFERROR(_xlfn.LET(_xlpm.s,SUBSTITUTE(IF(EST!$P37=1,EST!D37,EST!E37)," ",""),IF(_xlpm.s="OFF","OFF",TEXT(MOD(TIMEVALUE(_xlfn.TEXTBEFORE(_xlpm.s,"-"))+0.5,1),"hh:mm")&amp;" - "&amp;TEXT(MOD(TIMEVALUE(_xlfn.TEXTAFTER(_xlpm.s,"-"))+0.5,1),"hh:mm"))),IF(EST!$P37=1,EST!D37,EST!E37))</f>
        <v>20:00 - 07:00</v>
      </c>
      <c r="F37" t="str">
        <f>IFERROR(_xlfn.LET(_xlpm.s,SUBSTITUTE(IF(EST!$P37=1,EST!E37,EST!F37)," ",""),IF(_xlpm.s="OFF","OFF",TEXT(MOD(TIMEVALUE(_xlfn.TEXTBEFORE(_xlpm.s,"-"))+0.5,1),"hh:mm")&amp;" - "&amp;TEXT(MOD(TIMEVALUE(_xlfn.TEXTAFTER(_xlpm.s,"-"))+0.5,1),"hh:mm"))),IF(EST!$P37=1,EST!E37,EST!F37))</f>
        <v>20:00 - 07:00</v>
      </c>
      <c r="G37" t="str">
        <f>IFERROR(_xlfn.LET(_xlpm.s,SUBSTITUTE(IF(EST!$P37=1,EST!F37,EST!G37)," ",""),IF(_xlpm.s="OFF","OFF",TEXT(MOD(TIMEVALUE(_xlfn.TEXTBEFORE(_xlpm.s,"-"))+0.5,1),"hh:mm")&amp;" - "&amp;TEXT(MOD(TIMEVALUE(_xlfn.TEXTAFTER(_xlpm.s,"-"))+0.5,1),"hh:mm"))),IF(EST!$P37=1,EST!F37,EST!G37))</f>
        <v>OFF</v>
      </c>
      <c r="H37" t="str">
        <f>IFERROR(_xlfn.LET(_xlpm.s,SUBSTITUTE(IF(EST!$P37=1,EST!G37,EST!H37)," ",""),IF(_xlpm.s="OFF","OFF",TEXT(MOD(TIMEVALUE(_xlfn.TEXTBEFORE(_xlpm.s,"-"))+0.5,1),"hh:mm")&amp;" - "&amp;TEXT(MOD(TIMEVALUE(_xlfn.TEXTAFTER(_xlpm.s,"-"))+0.5,1),"hh:mm"))),IF(EST!$P37=1,EST!G37,EST!H37))</f>
        <v>OFF</v>
      </c>
      <c r="I37" t="str">
        <f t="shared" si="1"/>
        <v>Tue - Sat - Sun</v>
      </c>
      <c r="J37" s="38">
        <f>MOD(EST!J37+TIME(12,0,0),1)</f>
        <v>0.92708333333333326</v>
      </c>
      <c r="K37" s="38">
        <f>MOD(EST!K37+TIME(12,0,0),1)</f>
        <v>0.13541666666666652</v>
      </c>
      <c r="L37" s="38">
        <f>MOD(EST!L37+TIME(12,0,0),1)</f>
        <v>1.0416666666666519E-2</v>
      </c>
      <c r="M37" s="38">
        <f>MOD(EST!M37+TIME(12,0,0),1)</f>
        <v>0.23958333333333348</v>
      </c>
      <c r="N37" t="str">
        <f>EST!N37</f>
        <v>Remmo Panaligan</v>
      </c>
    </row>
    <row r="38" spans="1:14" x14ac:dyDescent="0.3">
      <c r="A38" t="str">
        <f>EST!A38</f>
        <v>KATHLEEN MELECIO</v>
      </c>
      <c r="B38" t="str">
        <f>IFERROR(_xlfn.LET(_xlpm.s,SUBSTITUTE(IF(EST!$P38=1,EST!H38,EST!B38)," ",""),IF(_xlpm.s="OFF","OFF",TEXT(MOD(TIMEVALUE(_xlfn.TEXTBEFORE(_xlpm.s,"-"))+0.5,1),"hh:mm")&amp;" - "&amp;TEXT(MOD(TIMEVALUE(_xlfn.TEXTAFTER(_xlpm.s,"-"))+0.5,1),"hh:mm"))),IF(EST!$P38=1,EST!H38,EST!B38))</f>
        <v>10:30 - 21:30</v>
      </c>
      <c r="C38" t="str">
        <f>IFERROR(_xlfn.LET(_xlpm.s,SUBSTITUTE(IF(EST!$P38=1,EST!B38,EST!C38)," ",""),IF(_xlpm.s="OFF","OFF",TEXT(MOD(TIMEVALUE(_xlfn.TEXTBEFORE(_xlpm.s,"-"))+0.5,1),"hh:mm")&amp;" - "&amp;TEXT(MOD(TIMEVALUE(_xlfn.TEXTAFTER(_xlpm.s,"-"))+0.5,1),"hh:mm"))),IF(EST!$P38=1,EST!B38,EST!C38))</f>
        <v>10:30 - 21:30</v>
      </c>
      <c r="D38" t="str">
        <f>IFERROR(_xlfn.LET(_xlpm.s,SUBSTITUTE(IF(EST!$P38=1,EST!C38,EST!D38)," ",""),IF(_xlpm.s="OFF","OFF",TEXT(MOD(TIMEVALUE(_xlfn.TEXTBEFORE(_xlpm.s,"-"))+0.5,1),"hh:mm")&amp;" - "&amp;TEXT(MOD(TIMEVALUE(_xlfn.TEXTAFTER(_xlpm.s,"-"))+0.5,1),"hh:mm"))),IF(EST!$P38=1,EST!C38,EST!D38))</f>
        <v>10:30 - 21:30</v>
      </c>
      <c r="E38" t="str">
        <f>IFERROR(_xlfn.LET(_xlpm.s,SUBSTITUTE(IF(EST!$P38=1,EST!D38,EST!E38)," ",""),IF(_xlpm.s="OFF","OFF",TEXT(MOD(TIMEVALUE(_xlfn.TEXTBEFORE(_xlpm.s,"-"))+0.5,1),"hh:mm")&amp;" - "&amp;TEXT(MOD(TIMEVALUE(_xlfn.TEXTAFTER(_xlpm.s,"-"))+0.5,1),"hh:mm"))),IF(EST!$P38=1,EST!D38,EST!E38))</f>
        <v>OFF</v>
      </c>
      <c r="F38" t="str">
        <f>IFERROR(_xlfn.LET(_xlpm.s,SUBSTITUTE(IF(EST!$P38=1,EST!E38,EST!F38)," ",""),IF(_xlpm.s="OFF","OFF",TEXT(MOD(TIMEVALUE(_xlfn.TEXTBEFORE(_xlpm.s,"-"))+0.5,1),"hh:mm")&amp;" - "&amp;TEXT(MOD(TIMEVALUE(_xlfn.TEXTAFTER(_xlpm.s,"-"))+0.5,1),"hh:mm"))),IF(EST!$P38=1,EST!E38,EST!F38))</f>
        <v>OFF</v>
      </c>
      <c r="G38" t="str">
        <f>IFERROR(_xlfn.LET(_xlpm.s,SUBSTITUTE(IF(EST!$P38=1,EST!F38,EST!G38)," ",""),IF(_xlpm.s="OFF","OFF",TEXT(MOD(TIMEVALUE(_xlfn.TEXTBEFORE(_xlpm.s,"-"))+0.5,1),"hh:mm")&amp;" - "&amp;TEXT(MOD(TIMEVALUE(_xlfn.TEXTAFTER(_xlpm.s,"-"))+0.5,1),"hh:mm"))),IF(EST!$P38=1,EST!F38,EST!G38))</f>
        <v>10:30 - 21:30</v>
      </c>
      <c r="H38" t="str">
        <f>IFERROR(_xlfn.LET(_xlpm.s,SUBSTITUTE(IF(EST!$P38=1,EST!G38,EST!H38)," ",""),IF(_xlpm.s="OFF","OFF",TEXT(MOD(TIMEVALUE(_xlfn.TEXTBEFORE(_xlpm.s,"-"))+0.5,1),"hh:mm")&amp;" - "&amp;TEXT(MOD(TIMEVALUE(_xlfn.TEXTAFTER(_xlpm.s,"-"))+0.5,1),"hh:mm"))),IF(EST!$P38=1,EST!G38,EST!H38))</f>
        <v>OFF</v>
      </c>
      <c r="I38" t="str">
        <f t="shared" si="1"/>
        <v>Thu - Fri - Sun</v>
      </c>
      <c r="J38" s="38">
        <f>MOD(EST!J38+TIME(12,0,0),1)</f>
        <v>0.55208333333333337</v>
      </c>
      <c r="K38" s="38">
        <f>MOD(EST!K38+TIME(12,0,0),1)</f>
        <v>0.77083333333333326</v>
      </c>
      <c r="L38" s="38">
        <f>MOD(EST!L38+TIME(12,0,0),1)</f>
        <v>0.625</v>
      </c>
      <c r="M38" s="38">
        <f>MOD(EST!M38+TIME(12,0,0),1)</f>
        <v>0.85416666666666674</v>
      </c>
      <c r="N38" t="str">
        <f>EST!N38</f>
        <v>Christopher Rodas</v>
      </c>
    </row>
    <row r="39" spans="1:14" x14ac:dyDescent="0.3">
      <c r="A39" t="str">
        <f>EST!A39</f>
        <v>KENNETH ORIBELLO</v>
      </c>
      <c r="B39" t="str">
        <f>IFERROR(_xlfn.LET(_xlpm.s,SUBSTITUTE(IF(EST!$P39=1,EST!H39,EST!B39)," ",""),IF(_xlpm.s="OFF","OFF",TEXT(MOD(TIMEVALUE(_xlfn.TEXTBEFORE(_xlpm.s,"-"))+0.5,1),"hh:mm")&amp;" - "&amp;TEXT(MOD(TIMEVALUE(_xlfn.TEXTAFTER(_xlpm.s,"-"))+0.5,1),"hh:mm"))),IF(EST!$P39=1,EST!H39,EST!B39))</f>
        <v>20:00 - 07:00</v>
      </c>
      <c r="C39" t="str">
        <f>IFERROR(_xlfn.LET(_xlpm.s,SUBSTITUTE(IF(EST!$P39=1,EST!B39,EST!C39)," ",""),IF(_xlpm.s="OFF","OFF",TEXT(MOD(TIMEVALUE(_xlfn.TEXTBEFORE(_xlpm.s,"-"))+0.5,1),"hh:mm")&amp;" - "&amp;TEXT(MOD(TIMEVALUE(_xlfn.TEXTAFTER(_xlpm.s,"-"))+0.5,1),"hh:mm"))),IF(EST!$P39=1,EST!B39,EST!C39))</f>
        <v>20:00 - 07:00</v>
      </c>
      <c r="D39" t="str">
        <f>IFERROR(_xlfn.LET(_xlpm.s,SUBSTITUTE(IF(EST!$P39=1,EST!C39,EST!D39)," ",""),IF(_xlpm.s="OFF","OFF",TEXT(MOD(TIMEVALUE(_xlfn.TEXTBEFORE(_xlpm.s,"-"))+0.5,1),"hh:mm")&amp;" - "&amp;TEXT(MOD(TIMEVALUE(_xlfn.TEXTAFTER(_xlpm.s,"-"))+0.5,1),"hh:mm"))),IF(EST!$P39=1,EST!C39,EST!D39))</f>
        <v>OFF</v>
      </c>
      <c r="E39" t="str">
        <f>IFERROR(_xlfn.LET(_xlpm.s,SUBSTITUTE(IF(EST!$P39=1,EST!D39,EST!E39)," ",""),IF(_xlpm.s="OFF","OFF",TEXT(MOD(TIMEVALUE(_xlfn.TEXTBEFORE(_xlpm.s,"-"))+0.5,1),"hh:mm")&amp;" - "&amp;TEXT(MOD(TIMEVALUE(_xlfn.TEXTAFTER(_xlpm.s,"-"))+0.5,1),"hh:mm"))),IF(EST!$P39=1,EST!D39,EST!E39))</f>
        <v>20:00 - 07:00</v>
      </c>
      <c r="F39" t="str">
        <f>IFERROR(_xlfn.LET(_xlpm.s,SUBSTITUTE(IF(EST!$P39=1,EST!E39,EST!F39)," ",""),IF(_xlpm.s="OFF","OFF",TEXT(MOD(TIMEVALUE(_xlfn.TEXTBEFORE(_xlpm.s,"-"))+0.5,1),"hh:mm")&amp;" - "&amp;TEXT(MOD(TIMEVALUE(_xlfn.TEXTAFTER(_xlpm.s,"-"))+0.5,1),"hh:mm"))),IF(EST!$P39=1,EST!E39,EST!F39))</f>
        <v>20:00 - 07:00</v>
      </c>
      <c r="G39" t="str">
        <f>IFERROR(_xlfn.LET(_xlpm.s,SUBSTITUTE(IF(EST!$P39=1,EST!F39,EST!G39)," ",""),IF(_xlpm.s="OFF","OFF",TEXT(MOD(TIMEVALUE(_xlfn.TEXTBEFORE(_xlpm.s,"-"))+0.5,1),"hh:mm")&amp;" - "&amp;TEXT(MOD(TIMEVALUE(_xlfn.TEXTAFTER(_xlpm.s,"-"))+0.5,1),"hh:mm"))),IF(EST!$P39=1,EST!F39,EST!G39))</f>
        <v>OFF</v>
      </c>
      <c r="H39" t="str">
        <f>IFERROR(_xlfn.LET(_xlpm.s,SUBSTITUTE(IF(EST!$P39=1,EST!G39,EST!H39)," ",""),IF(_xlpm.s="OFF","OFF",TEXT(MOD(TIMEVALUE(_xlfn.TEXTBEFORE(_xlpm.s,"-"))+0.5,1),"hh:mm")&amp;" - "&amp;TEXT(MOD(TIMEVALUE(_xlfn.TEXTAFTER(_xlpm.s,"-"))+0.5,1),"hh:mm"))),IF(EST!$P39=1,EST!G39,EST!H39))</f>
        <v>OFF</v>
      </c>
      <c r="I39" t="str">
        <f t="shared" si="1"/>
        <v>Wed - Sat - Sun</v>
      </c>
      <c r="J39" s="38">
        <f>MOD(EST!J39+TIME(12,0,0),1)</f>
        <v>0.9375</v>
      </c>
      <c r="K39" s="38">
        <f>MOD(EST!K39+TIME(12,0,0),1)</f>
        <v>0.1875</v>
      </c>
      <c r="L39" s="38">
        <f>MOD(EST!L39+TIME(12,0,0),1)</f>
        <v>6.25E-2</v>
      </c>
      <c r="M39" s="38">
        <f>MOD(EST!M39+TIME(12,0,0),1)</f>
        <v>0.25</v>
      </c>
      <c r="N39" t="str">
        <f>EST!N39</f>
        <v>Michael Dominguez</v>
      </c>
    </row>
    <row r="40" spans="1:14" x14ac:dyDescent="0.3">
      <c r="A40" t="str">
        <f>EST!A40</f>
        <v>KIRBY SANTOS</v>
      </c>
      <c r="B40" t="str">
        <f>IFERROR(_xlfn.LET(_xlpm.s,SUBSTITUTE(IF(EST!$P40=1,EST!H40,EST!B40)," ",""),IF(_xlpm.s="OFF","OFF",TEXT(MOD(TIMEVALUE(_xlfn.TEXTBEFORE(_xlpm.s,"-"))+0.5,1),"hh:mm")&amp;" - "&amp;TEXT(MOD(TIMEVALUE(_xlfn.TEXTAFTER(_xlpm.s,"-"))+0.5,1),"hh:mm"))),IF(EST!$P40=1,EST!H40,EST!B40))</f>
        <v>OFF</v>
      </c>
      <c r="C40" t="str">
        <f>IFERROR(_xlfn.LET(_xlpm.s,SUBSTITUTE(IF(EST!$P40=1,EST!B40,EST!C40)," ",""),IF(_xlpm.s="OFF","OFF",TEXT(MOD(TIMEVALUE(_xlfn.TEXTBEFORE(_xlpm.s,"-"))+0.5,1),"hh:mm")&amp;" - "&amp;TEXT(MOD(TIMEVALUE(_xlfn.TEXTAFTER(_xlpm.s,"-"))+0.5,1),"hh:mm"))),IF(EST!$P40=1,EST!B40,EST!C40))</f>
        <v>05:00 - 16:00</v>
      </c>
      <c r="D40" t="str">
        <f>IFERROR(_xlfn.LET(_xlpm.s,SUBSTITUTE(IF(EST!$P40=1,EST!C40,EST!D40)," ",""),IF(_xlpm.s="OFF","OFF",TEXT(MOD(TIMEVALUE(_xlfn.TEXTBEFORE(_xlpm.s,"-"))+0.5,1),"hh:mm")&amp;" - "&amp;TEXT(MOD(TIMEVALUE(_xlfn.TEXTAFTER(_xlpm.s,"-"))+0.5,1),"hh:mm"))),IF(EST!$P40=1,EST!C40,EST!D40))</f>
        <v>05:00 - 16:00</v>
      </c>
      <c r="E40" t="str">
        <f>IFERROR(_xlfn.LET(_xlpm.s,SUBSTITUTE(IF(EST!$P40=1,EST!D40,EST!E40)," ",""),IF(_xlpm.s="OFF","OFF",TEXT(MOD(TIMEVALUE(_xlfn.TEXTBEFORE(_xlpm.s,"-"))+0.5,1),"hh:mm")&amp;" - "&amp;TEXT(MOD(TIMEVALUE(_xlfn.TEXTAFTER(_xlpm.s,"-"))+0.5,1),"hh:mm"))),IF(EST!$P40=1,EST!D40,EST!E40))</f>
        <v>05:00 - 16:00</v>
      </c>
      <c r="F40" t="str">
        <f>IFERROR(_xlfn.LET(_xlpm.s,SUBSTITUTE(IF(EST!$P40=1,EST!E40,EST!F40)," ",""),IF(_xlpm.s="OFF","OFF",TEXT(MOD(TIMEVALUE(_xlfn.TEXTBEFORE(_xlpm.s,"-"))+0.5,1),"hh:mm")&amp;" - "&amp;TEXT(MOD(TIMEVALUE(_xlfn.TEXTAFTER(_xlpm.s,"-"))+0.5,1),"hh:mm"))),IF(EST!$P40=1,EST!E40,EST!F40))</f>
        <v>05:00 - 16:00</v>
      </c>
      <c r="G40" t="str">
        <f>IFERROR(_xlfn.LET(_xlpm.s,SUBSTITUTE(IF(EST!$P40=1,EST!F40,EST!G40)," ",""),IF(_xlpm.s="OFF","OFF",TEXT(MOD(TIMEVALUE(_xlfn.TEXTBEFORE(_xlpm.s,"-"))+0.5,1),"hh:mm")&amp;" - "&amp;TEXT(MOD(TIMEVALUE(_xlfn.TEXTAFTER(_xlpm.s,"-"))+0.5,1),"hh:mm"))),IF(EST!$P40=1,EST!F40,EST!G40))</f>
        <v>OFF</v>
      </c>
      <c r="H40" t="str">
        <f>IFERROR(_xlfn.LET(_xlpm.s,SUBSTITUTE(IF(EST!$P40=1,EST!G40,EST!H40)," ",""),IF(_xlpm.s="OFF","OFF",TEXT(MOD(TIMEVALUE(_xlfn.TEXTBEFORE(_xlpm.s,"-"))+0.5,1),"hh:mm")&amp;" - "&amp;TEXT(MOD(TIMEVALUE(_xlfn.TEXTAFTER(_xlpm.s,"-"))+0.5,1),"hh:mm"))),IF(EST!$P40=1,EST!G40,EST!H40))</f>
        <v>OFF</v>
      </c>
      <c r="I40" t="str">
        <f t="shared" si="1"/>
        <v>Mon - Sat - Sun</v>
      </c>
      <c r="J40" s="38">
        <f>MOD(EST!J40+TIME(12,0,0),1)</f>
        <v>0.3125</v>
      </c>
      <c r="K40" s="38">
        <f>MOD(EST!K40+TIME(12,0,0),1)</f>
        <v>0.5</v>
      </c>
      <c r="L40" s="38">
        <f>MOD(EST!L40+TIME(12,0,0),1)</f>
        <v>0.40625</v>
      </c>
      <c r="M40" s="38">
        <f>MOD(EST!M40+TIME(12,0,0),1)</f>
        <v>0.60416666666666663</v>
      </c>
      <c r="N40" t="str">
        <f>EST!N40</f>
        <v>Manilyn Abellar</v>
      </c>
    </row>
    <row r="41" spans="1:14" x14ac:dyDescent="0.3">
      <c r="A41" t="str">
        <f>EST!A41</f>
        <v>LANZ JASON MEDALLO</v>
      </c>
      <c r="B41" t="str">
        <f>IFERROR(_xlfn.LET(_xlpm.s,SUBSTITUTE(IF(EST!$P41=1,EST!H41,EST!B41)," ",""),IF(_xlpm.s="OFF","OFF",TEXT(MOD(TIMEVALUE(_xlfn.TEXTBEFORE(_xlpm.s,"-"))+0.5,1),"hh:mm")&amp;" - "&amp;TEXT(MOD(TIMEVALUE(_xlfn.TEXTAFTER(_xlpm.s,"-"))+0.5,1),"hh:mm"))),IF(EST!$P41=1,EST!H41,EST!B41))</f>
        <v>20:00 - 07:00</v>
      </c>
      <c r="C41" t="str">
        <f>IFERROR(_xlfn.LET(_xlpm.s,SUBSTITUTE(IF(EST!$P41=1,EST!B41,EST!C41)," ",""),IF(_xlpm.s="OFF","OFF",TEXT(MOD(TIMEVALUE(_xlfn.TEXTBEFORE(_xlpm.s,"-"))+0.5,1),"hh:mm")&amp;" - "&amp;TEXT(MOD(TIMEVALUE(_xlfn.TEXTAFTER(_xlpm.s,"-"))+0.5,1),"hh:mm"))),IF(EST!$P41=1,EST!B41,EST!C41))</f>
        <v>20:00 - 07:00</v>
      </c>
      <c r="D41" t="str">
        <f>IFERROR(_xlfn.LET(_xlpm.s,SUBSTITUTE(IF(EST!$P41=1,EST!C41,EST!D41)," ",""),IF(_xlpm.s="OFF","OFF",TEXT(MOD(TIMEVALUE(_xlfn.TEXTBEFORE(_xlpm.s,"-"))+0.5,1),"hh:mm")&amp;" - "&amp;TEXT(MOD(TIMEVALUE(_xlfn.TEXTAFTER(_xlpm.s,"-"))+0.5,1),"hh:mm"))),IF(EST!$P41=1,EST!C41,EST!D41))</f>
        <v>OFF</v>
      </c>
      <c r="E41" t="str">
        <f>IFERROR(_xlfn.LET(_xlpm.s,SUBSTITUTE(IF(EST!$P41=1,EST!D41,EST!E41)," ",""),IF(_xlpm.s="OFF","OFF",TEXT(MOD(TIMEVALUE(_xlfn.TEXTBEFORE(_xlpm.s,"-"))+0.5,1),"hh:mm")&amp;" - "&amp;TEXT(MOD(TIMEVALUE(_xlfn.TEXTAFTER(_xlpm.s,"-"))+0.5,1),"hh:mm"))),IF(EST!$P41=1,EST!D41,EST!E41))</f>
        <v>20:00 - 07:00</v>
      </c>
      <c r="F41" t="str">
        <f>IFERROR(_xlfn.LET(_xlpm.s,SUBSTITUTE(IF(EST!$P41=1,EST!E41,EST!F41)," ",""),IF(_xlpm.s="OFF","OFF",TEXT(MOD(TIMEVALUE(_xlfn.TEXTBEFORE(_xlpm.s,"-"))+0.5,1),"hh:mm")&amp;" - "&amp;TEXT(MOD(TIMEVALUE(_xlfn.TEXTAFTER(_xlpm.s,"-"))+0.5,1),"hh:mm"))),IF(EST!$P41=1,EST!E41,EST!F41))</f>
        <v>20:00 - 07:00</v>
      </c>
      <c r="G41" t="str">
        <f>IFERROR(_xlfn.LET(_xlpm.s,SUBSTITUTE(IF(EST!$P41=1,EST!F41,EST!G41)," ",""),IF(_xlpm.s="OFF","OFF",TEXT(MOD(TIMEVALUE(_xlfn.TEXTBEFORE(_xlpm.s,"-"))+0.5,1),"hh:mm")&amp;" - "&amp;TEXT(MOD(TIMEVALUE(_xlfn.TEXTAFTER(_xlpm.s,"-"))+0.5,1),"hh:mm"))),IF(EST!$P41=1,EST!F41,EST!G41))</f>
        <v>OFF</v>
      </c>
      <c r="H41" t="str">
        <f>IFERROR(_xlfn.LET(_xlpm.s,SUBSTITUTE(IF(EST!$P41=1,EST!G41,EST!H41)," ",""),IF(_xlpm.s="OFF","OFF",TEXT(MOD(TIMEVALUE(_xlfn.TEXTBEFORE(_xlpm.s,"-"))+0.5,1),"hh:mm")&amp;" - "&amp;TEXT(MOD(TIMEVALUE(_xlfn.TEXTAFTER(_xlpm.s,"-"))+0.5,1),"hh:mm"))),IF(EST!$P41=1,EST!G41,EST!H41))</f>
        <v>OFF</v>
      </c>
      <c r="I41" t="str">
        <f t="shared" si="1"/>
        <v>Wed - Sat - Sun</v>
      </c>
      <c r="J41" s="38">
        <f>MOD(EST!J41+TIME(12,0,0),1)</f>
        <v>0.91666666666666674</v>
      </c>
      <c r="K41" s="38">
        <f>MOD(EST!K41+TIME(12,0,0),1)</f>
        <v>0.125</v>
      </c>
      <c r="L41" s="38">
        <f>MOD(EST!L41+TIME(12,0,0),1)</f>
        <v>0</v>
      </c>
      <c r="M41" s="38">
        <f>MOD(EST!M41+TIME(12,0,0),1)</f>
        <v>0.21875</v>
      </c>
      <c r="N41" t="str">
        <f>EST!N41</f>
        <v>Remmo Panaligan</v>
      </c>
    </row>
    <row r="42" spans="1:14" x14ac:dyDescent="0.3">
      <c r="A42" t="str">
        <f>EST!A42</f>
        <v>LEE JOSEPH AGBANLOG</v>
      </c>
      <c r="B42" t="str">
        <f>IFERROR(_xlfn.LET(_xlpm.s,SUBSTITUTE(IF(EST!$P42=1,EST!H42,EST!B42)," ",""),IF(_xlpm.s="OFF","OFF",TEXT(MOD(TIMEVALUE(_xlfn.TEXTBEFORE(_xlpm.s,"-"))+0.5,1),"hh:mm")&amp;" - "&amp;TEXT(MOD(TIMEVALUE(_xlfn.TEXTAFTER(_xlpm.s,"-"))+0.5,1),"hh:mm"))),IF(EST!$P42=1,EST!H42,EST!B42))</f>
        <v>21:00 - 08:00</v>
      </c>
      <c r="C42" t="str">
        <f>IFERROR(_xlfn.LET(_xlpm.s,SUBSTITUTE(IF(EST!$P42=1,EST!B42,EST!C42)," ",""),IF(_xlpm.s="OFF","OFF",TEXT(MOD(TIMEVALUE(_xlfn.TEXTBEFORE(_xlpm.s,"-"))+0.5,1),"hh:mm")&amp;" - "&amp;TEXT(MOD(TIMEVALUE(_xlfn.TEXTAFTER(_xlpm.s,"-"))+0.5,1),"hh:mm"))),IF(EST!$P42=1,EST!B42,EST!C42))</f>
        <v>21:00 - 08:00</v>
      </c>
      <c r="D42" t="str">
        <f>IFERROR(_xlfn.LET(_xlpm.s,SUBSTITUTE(IF(EST!$P42=1,EST!C42,EST!D42)," ",""),IF(_xlpm.s="OFF","OFF",TEXT(MOD(TIMEVALUE(_xlfn.TEXTBEFORE(_xlpm.s,"-"))+0.5,1),"hh:mm")&amp;" - "&amp;TEXT(MOD(TIMEVALUE(_xlfn.TEXTAFTER(_xlpm.s,"-"))+0.5,1),"hh:mm"))),IF(EST!$P42=1,EST!C42,EST!D42))</f>
        <v>OFF</v>
      </c>
      <c r="E42" t="str">
        <f>IFERROR(_xlfn.LET(_xlpm.s,SUBSTITUTE(IF(EST!$P42=1,EST!D42,EST!E42)," ",""),IF(_xlpm.s="OFF","OFF",TEXT(MOD(TIMEVALUE(_xlfn.TEXTBEFORE(_xlpm.s,"-"))+0.5,1),"hh:mm")&amp;" - "&amp;TEXT(MOD(TIMEVALUE(_xlfn.TEXTAFTER(_xlpm.s,"-"))+0.5,1),"hh:mm"))),IF(EST!$P42=1,EST!D42,EST!E42))</f>
        <v>21:00 - 08:00</v>
      </c>
      <c r="F42" t="str">
        <f>IFERROR(_xlfn.LET(_xlpm.s,SUBSTITUTE(IF(EST!$P42=1,EST!E42,EST!F42)," ",""),IF(_xlpm.s="OFF","OFF",TEXT(MOD(TIMEVALUE(_xlfn.TEXTBEFORE(_xlpm.s,"-"))+0.5,1),"hh:mm")&amp;" - "&amp;TEXT(MOD(TIMEVALUE(_xlfn.TEXTAFTER(_xlpm.s,"-"))+0.5,1),"hh:mm"))),IF(EST!$P42=1,EST!E42,EST!F42))</f>
        <v>21:00 - 08:00</v>
      </c>
      <c r="G42" t="str">
        <f>IFERROR(_xlfn.LET(_xlpm.s,SUBSTITUTE(IF(EST!$P42=1,EST!F42,EST!G42)," ",""),IF(_xlpm.s="OFF","OFF",TEXT(MOD(TIMEVALUE(_xlfn.TEXTBEFORE(_xlpm.s,"-"))+0.5,1),"hh:mm")&amp;" - "&amp;TEXT(MOD(TIMEVALUE(_xlfn.TEXTAFTER(_xlpm.s,"-"))+0.5,1),"hh:mm"))),IF(EST!$P42=1,EST!F42,EST!G42))</f>
        <v>OFF</v>
      </c>
      <c r="H42" t="str">
        <f>IFERROR(_xlfn.LET(_xlpm.s,SUBSTITUTE(IF(EST!$P42=1,EST!G42,EST!H42)," ",""),IF(_xlpm.s="OFF","OFF",TEXT(MOD(TIMEVALUE(_xlfn.TEXTBEFORE(_xlpm.s,"-"))+0.5,1),"hh:mm")&amp;" - "&amp;TEXT(MOD(TIMEVALUE(_xlfn.TEXTAFTER(_xlpm.s,"-"))+0.5,1),"hh:mm"))),IF(EST!$P42=1,EST!G42,EST!H42))</f>
        <v>OFF</v>
      </c>
      <c r="I42" t="str">
        <f t="shared" si="1"/>
        <v>Wed - Sat - Sun</v>
      </c>
      <c r="J42" s="38">
        <f>MOD(EST!J42+TIME(12,0,0),1)</f>
        <v>0.98958333333333326</v>
      </c>
      <c r="K42" s="38">
        <f>MOD(EST!K42+TIME(12,0,0),1)</f>
        <v>0.19791666666666652</v>
      </c>
      <c r="L42" s="38">
        <f>MOD(EST!L42+TIME(12,0,0),1)</f>
        <v>7.2916666666666519E-2</v>
      </c>
      <c r="M42" s="38">
        <f>MOD(EST!M42+TIME(12,0,0),1)</f>
        <v>0.28125</v>
      </c>
      <c r="N42" t="str">
        <f>EST!N42</f>
        <v>Michael Dominguez</v>
      </c>
    </row>
    <row r="43" spans="1:14" x14ac:dyDescent="0.3">
      <c r="A43" t="str">
        <f>EST!A43</f>
        <v>LOVELYN NICOLE MAGCUYAO</v>
      </c>
      <c r="B43" t="str">
        <f>IFERROR(_xlfn.LET(_xlpm.s,SUBSTITUTE(IF(EST!$P43=1,EST!H43,EST!B43)," ",""),IF(_xlpm.s="OFF","OFF",TEXT(MOD(TIMEVALUE(_xlfn.TEXTBEFORE(_xlpm.s,"-"))+0.5,1),"hh:mm")&amp;" - "&amp;TEXT(MOD(TIMEVALUE(_xlfn.TEXTAFTER(_xlpm.s,"-"))+0.5,1),"hh:mm"))),IF(EST!$P43=1,EST!H43,EST!B43))</f>
        <v>21:00 - 08:00</v>
      </c>
      <c r="C43" t="str">
        <f>IFERROR(_xlfn.LET(_xlpm.s,SUBSTITUTE(IF(EST!$P43=1,EST!B43,EST!C43)," ",""),IF(_xlpm.s="OFF","OFF",TEXT(MOD(TIMEVALUE(_xlfn.TEXTBEFORE(_xlpm.s,"-"))+0.5,1),"hh:mm")&amp;" - "&amp;TEXT(MOD(TIMEVALUE(_xlfn.TEXTAFTER(_xlpm.s,"-"))+0.5,1),"hh:mm"))),IF(EST!$P43=1,EST!B43,EST!C43))</f>
        <v>21:00 - 08:00</v>
      </c>
      <c r="D43" t="str">
        <f>IFERROR(_xlfn.LET(_xlpm.s,SUBSTITUTE(IF(EST!$P43=1,EST!C43,EST!D43)," ",""),IF(_xlpm.s="OFF","OFF",TEXT(MOD(TIMEVALUE(_xlfn.TEXTBEFORE(_xlpm.s,"-"))+0.5,1),"hh:mm")&amp;" - "&amp;TEXT(MOD(TIMEVALUE(_xlfn.TEXTAFTER(_xlpm.s,"-"))+0.5,1),"hh:mm"))),IF(EST!$P43=1,EST!C43,EST!D43))</f>
        <v>21:00 - 08:00</v>
      </c>
      <c r="E43" t="str">
        <f>IFERROR(_xlfn.LET(_xlpm.s,SUBSTITUTE(IF(EST!$P43=1,EST!D43,EST!E43)," ",""),IF(_xlpm.s="OFF","OFF",TEXT(MOD(TIMEVALUE(_xlfn.TEXTBEFORE(_xlpm.s,"-"))+0.5,1),"hh:mm")&amp;" - "&amp;TEXT(MOD(TIMEVALUE(_xlfn.TEXTAFTER(_xlpm.s,"-"))+0.5,1),"hh:mm"))),IF(EST!$P43=1,EST!D43,EST!E43))</f>
        <v>21:00 - 08:00</v>
      </c>
      <c r="F43" t="str">
        <f>IFERROR(_xlfn.LET(_xlpm.s,SUBSTITUTE(IF(EST!$P43=1,EST!E43,EST!F43)," ",""),IF(_xlpm.s="OFF","OFF",TEXT(MOD(TIMEVALUE(_xlfn.TEXTBEFORE(_xlpm.s,"-"))+0.5,1),"hh:mm")&amp;" - "&amp;TEXT(MOD(TIMEVALUE(_xlfn.TEXTAFTER(_xlpm.s,"-"))+0.5,1),"hh:mm"))),IF(EST!$P43=1,EST!E43,EST!F43))</f>
        <v>OFF</v>
      </c>
      <c r="G43" t="str">
        <f>IFERROR(_xlfn.LET(_xlpm.s,SUBSTITUTE(IF(EST!$P43=1,EST!F43,EST!G43)," ",""),IF(_xlpm.s="OFF","OFF",TEXT(MOD(TIMEVALUE(_xlfn.TEXTBEFORE(_xlpm.s,"-"))+0.5,1),"hh:mm")&amp;" - "&amp;TEXT(MOD(TIMEVALUE(_xlfn.TEXTAFTER(_xlpm.s,"-"))+0.5,1),"hh:mm"))),IF(EST!$P43=1,EST!F43,EST!G43))</f>
        <v>OFF</v>
      </c>
      <c r="H43" t="str">
        <f>IFERROR(_xlfn.LET(_xlpm.s,SUBSTITUTE(IF(EST!$P43=1,EST!G43,EST!H43)," ",""),IF(_xlpm.s="OFF","OFF",TEXT(MOD(TIMEVALUE(_xlfn.TEXTBEFORE(_xlpm.s,"-"))+0.5,1),"hh:mm")&amp;" - "&amp;TEXT(MOD(TIMEVALUE(_xlfn.TEXTAFTER(_xlpm.s,"-"))+0.5,1),"hh:mm"))),IF(EST!$P43=1,EST!G43,EST!H43))</f>
        <v>OFF</v>
      </c>
      <c r="I43" t="str">
        <f t="shared" si="1"/>
        <v>Fri - Sat - Sun</v>
      </c>
      <c r="J43" s="38">
        <f>MOD(EST!J43+TIME(12,0,0),1)</f>
        <v>0.95833333333333326</v>
      </c>
      <c r="K43" s="38">
        <f>MOD(EST!K43+TIME(12,0,0),1)</f>
        <v>0.17708333333333348</v>
      </c>
      <c r="L43" s="38">
        <f>MOD(EST!L43+TIME(12,0,0),1)</f>
        <v>5.2083333333333481E-2</v>
      </c>
      <c r="M43" s="38">
        <f>MOD(EST!M43+TIME(12,0,0),1)</f>
        <v>0.27083333333333348</v>
      </c>
      <c r="N43" t="str">
        <f>EST!N43</f>
        <v>Anmecha Valencia</v>
      </c>
    </row>
    <row r="44" spans="1:14" x14ac:dyDescent="0.3">
      <c r="A44" t="str">
        <f>EST!A44</f>
        <v>MANUELETH NARDO</v>
      </c>
      <c r="B44" t="str">
        <f>IFERROR(_xlfn.LET(_xlpm.s,SUBSTITUTE(IF(EST!$P44=1,EST!H44,EST!B44)," ",""),IF(_xlpm.s="OFF","OFF",TEXT(MOD(TIMEVALUE(_xlfn.TEXTBEFORE(_xlpm.s,"-"))+0.5,1),"hh:mm")&amp;" - "&amp;TEXT(MOD(TIMEVALUE(_xlfn.TEXTAFTER(_xlpm.s,"-"))+0.5,1),"hh:mm"))),IF(EST!$P44=1,EST!H44,EST!B44))</f>
        <v>OFF</v>
      </c>
      <c r="C44" t="str">
        <f>IFERROR(_xlfn.LET(_xlpm.s,SUBSTITUTE(IF(EST!$P44=1,EST!B44,EST!C44)," ",""),IF(_xlpm.s="OFF","OFF",TEXT(MOD(TIMEVALUE(_xlfn.TEXTBEFORE(_xlpm.s,"-"))+0.5,1),"hh:mm")&amp;" - "&amp;TEXT(MOD(TIMEVALUE(_xlfn.TEXTAFTER(_xlpm.s,"-"))+0.5,1),"hh:mm"))),IF(EST!$P44=1,EST!B44,EST!C44))</f>
        <v>OFF</v>
      </c>
      <c r="D44" t="str">
        <f>IFERROR(_xlfn.LET(_xlpm.s,SUBSTITUTE(IF(EST!$P44=1,EST!C44,EST!D44)," ",""),IF(_xlpm.s="OFF","OFF",TEXT(MOD(TIMEVALUE(_xlfn.TEXTBEFORE(_xlpm.s,"-"))+0.5,1),"hh:mm")&amp;" - "&amp;TEXT(MOD(TIMEVALUE(_xlfn.TEXTAFTER(_xlpm.s,"-"))+0.5,1),"hh:mm"))),IF(EST!$P44=1,EST!C44,EST!D44))</f>
        <v>06:30 - 17:30</v>
      </c>
      <c r="E44" t="str">
        <f>IFERROR(_xlfn.LET(_xlpm.s,SUBSTITUTE(IF(EST!$P44=1,EST!D44,EST!E44)," ",""),IF(_xlpm.s="OFF","OFF",TEXT(MOD(TIMEVALUE(_xlfn.TEXTBEFORE(_xlpm.s,"-"))+0.5,1),"hh:mm")&amp;" - "&amp;TEXT(MOD(TIMEVALUE(_xlfn.TEXTAFTER(_xlpm.s,"-"))+0.5,1),"hh:mm"))),IF(EST!$P44=1,EST!D44,EST!E44))</f>
        <v>06:30 - 17:30</v>
      </c>
      <c r="F44" t="str">
        <f>IFERROR(_xlfn.LET(_xlpm.s,SUBSTITUTE(IF(EST!$P44=1,EST!E44,EST!F44)," ",""),IF(_xlpm.s="OFF","OFF",TEXT(MOD(TIMEVALUE(_xlfn.TEXTBEFORE(_xlpm.s,"-"))+0.5,1),"hh:mm")&amp;" - "&amp;TEXT(MOD(TIMEVALUE(_xlfn.TEXTAFTER(_xlpm.s,"-"))+0.5,1),"hh:mm"))),IF(EST!$P44=1,EST!E44,EST!F44))</f>
        <v>06:30 - 17:30</v>
      </c>
      <c r="G44" t="str">
        <f>IFERROR(_xlfn.LET(_xlpm.s,SUBSTITUTE(IF(EST!$P44=1,EST!F44,EST!G44)," ",""),IF(_xlpm.s="OFF","OFF",TEXT(MOD(TIMEVALUE(_xlfn.TEXTBEFORE(_xlpm.s,"-"))+0.5,1),"hh:mm")&amp;" - "&amp;TEXT(MOD(TIMEVALUE(_xlfn.TEXTAFTER(_xlpm.s,"-"))+0.5,1),"hh:mm"))),IF(EST!$P44=1,EST!F44,EST!G44))</f>
        <v>06:30 - 17:30</v>
      </c>
      <c r="H44" t="str">
        <f>IFERROR(_xlfn.LET(_xlpm.s,SUBSTITUTE(IF(EST!$P44=1,EST!G44,EST!H44)," ",""),IF(_xlpm.s="OFF","OFF",TEXT(MOD(TIMEVALUE(_xlfn.TEXTBEFORE(_xlpm.s,"-"))+0.5,1),"hh:mm")&amp;" - "&amp;TEXT(MOD(TIMEVALUE(_xlfn.TEXTAFTER(_xlpm.s,"-"))+0.5,1),"hh:mm"))),IF(EST!$P44=1,EST!G44,EST!H44))</f>
        <v>OFF</v>
      </c>
      <c r="I44" t="str">
        <f t="shared" si="1"/>
        <v>Mon - Tue - Sun</v>
      </c>
      <c r="J44" s="38">
        <f>MOD(EST!J44+TIME(12,0,0),1)</f>
        <v>0.35416666666666652</v>
      </c>
      <c r="K44" s="38">
        <f>MOD(EST!K44+TIME(12,0,0),1)</f>
        <v>0.57291666666666663</v>
      </c>
      <c r="L44" s="38">
        <f>MOD(EST!L44+TIME(12,0,0),1)</f>
        <v>0.44791666666666652</v>
      </c>
      <c r="M44" s="38">
        <f>MOD(EST!M44+TIME(12,0,0),1)</f>
        <v>0.67708333333333337</v>
      </c>
      <c r="N44" t="str">
        <f>EST!N44</f>
        <v>Christopher Rodas</v>
      </c>
    </row>
    <row r="45" spans="1:14" x14ac:dyDescent="0.3">
      <c r="A45" t="str">
        <f>EST!A45</f>
        <v>MARIELLE DAKILA</v>
      </c>
      <c r="B45" t="str">
        <f>IFERROR(_xlfn.LET(_xlpm.s,SUBSTITUTE(IF(EST!$P45=1,EST!H45,EST!B45)," ",""),IF(_xlpm.s="OFF","OFF",TEXT(MOD(TIMEVALUE(_xlfn.TEXTBEFORE(_xlpm.s,"-"))+0.5,1),"hh:mm")&amp;" - "&amp;TEXT(MOD(TIMEVALUE(_xlfn.TEXTAFTER(_xlpm.s,"-"))+0.5,1),"hh:mm"))),IF(EST!$P45=1,EST!H45,EST!B45))</f>
        <v>21:00 - 08:00</v>
      </c>
      <c r="C45" t="str">
        <f>IFERROR(_xlfn.LET(_xlpm.s,SUBSTITUTE(IF(EST!$P45=1,EST!B45,EST!C45)," ",""),IF(_xlpm.s="OFF","OFF",TEXT(MOD(TIMEVALUE(_xlfn.TEXTBEFORE(_xlpm.s,"-"))+0.5,1),"hh:mm")&amp;" - "&amp;TEXT(MOD(TIMEVALUE(_xlfn.TEXTAFTER(_xlpm.s,"-"))+0.5,1),"hh:mm"))),IF(EST!$P45=1,EST!B45,EST!C45))</f>
        <v>21:00 - 08:00</v>
      </c>
      <c r="D45" t="str">
        <f>IFERROR(_xlfn.LET(_xlpm.s,SUBSTITUTE(IF(EST!$P45=1,EST!C45,EST!D45)," ",""),IF(_xlpm.s="OFF","OFF",TEXT(MOD(TIMEVALUE(_xlfn.TEXTBEFORE(_xlpm.s,"-"))+0.5,1),"hh:mm")&amp;" - "&amp;TEXT(MOD(TIMEVALUE(_xlfn.TEXTAFTER(_xlpm.s,"-"))+0.5,1),"hh:mm"))),IF(EST!$P45=1,EST!C45,EST!D45))</f>
        <v>OFF</v>
      </c>
      <c r="E45" t="str">
        <f>IFERROR(_xlfn.LET(_xlpm.s,SUBSTITUTE(IF(EST!$P45=1,EST!D45,EST!E45)," ",""),IF(_xlpm.s="OFF","OFF",TEXT(MOD(TIMEVALUE(_xlfn.TEXTBEFORE(_xlpm.s,"-"))+0.5,1),"hh:mm")&amp;" - "&amp;TEXT(MOD(TIMEVALUE(_xlfn.TEXTAFTER(_xlpm.s,"-"))+0.5,1),"hh:mm"))),IF(EST!$P45=1,EST!D45,EST!E45))</f>
        <v>21:00 - 08:00</v>
      </c>
      <c r="F45" t="str">
        <f>IFERROR(_xlfn.LET(_xlpm.s,SUBSTITUTE(IF(EST!$P45=1,EST!E45,EST!F45)," ",""),IF(_xlpm.s="OFF","OFF",TEXT(MOD(TIMEVALUE(_xlfn.TEXTBEFORE(_xlpm.s,"-"))+0.5,1),"hh:mm")&amp;" - "&amp;TEXT(MOD(TIMEVALUE(_xlfn.TEXTAFTER(_xlpm.s,"-"))+0.5,1),"hh:mm"))),IF(EST!$P45=1,EST!E45,EST!F45))</f>
        <v>21:00 - 08:00</v>
      </c>
      <c r="G45" t="str">
        <f>IFERROR(_xlfn.LET(_xlpm.s,SUBSTITUTE(IF(EST!$P45=1,EST!F45,EST!G45)," ",""),IF(_xlpm.s="OFF","OFF",TEXT(MOD(TIMEVALUE(_xlfn.TEXTBEFORE(_xlpm.s,"-"))+0.5,1),"hh:mm")&amp;" - "&amp;TEXT(MOD(TIMEVALUE(_xlfn.TEXTAFTER(_xlpm.s,"-"))+0.5,1),"hh:mm"))),IF(EST!$P45=1,EST!F45,EST!G45))</f>
        <v>OFF</v>
      </c>
      <c r="H45" t="str">
        <f>IFERROR(_xlfn.LET(_xlpm.s,SUBSTITUTE(IF(EST!$P45=1,EST!G45,EST!H45)," ",""),IF(_xlpm.s="OFF","OFF",TEXT(MOD(TIMEVALUE(_xlfn.TEXTBEFORE(_xlpm.s,"-"))+0.5,1),"hh:mm")&amp;" - "&amp;TEXT(MOD(TIMEVALUE(_xlfn.TEXTAFTER(_xlpm.s,"-"))+0.5,1),"hh:mm"))),IF(EST!$P45=1,EST!G45,EST!H45))</f>
        <v>OFF</v>
      </c>
      <c r="I45" t="str">
        <f t="shared" si="1"/>
        <v>Wed - Sat - Sun</v>
      </c>
      <c r="J45" s="38">
        <f>MOD(EST!J45+TIME(12,0,0),1)</f>
        <v>0.97916666666666674</v>
      </c>
      <c r="K45" s="38">
        <f>MOD(EST!K45+TIME(12,0,0),1)</f>
        <v>0.17708333333333348</v>
      </c>
      <c r="L45" s="38">
        <f>MOD(EST!L45+TIME(12,0,0),1)</f>
        <v>7.2916666666666519E-2</v>
      </c>
      <c r="M45" s="38">
        <f>MOD(EST!M45+TIME(12,0,0),1)</f>
        <v>0.28125</v>
      </c>
      <c r="N45" t="str">
        <f>EST!N45</f>
        <v>Remmo Panaligan</v>
      </c>
    </row>
    <row r="46" spans="1:14" x14ac:dyDescent="0.3">
      <c r="A46" t="str">
        <f>EST!A46</f>
        <v>MARJON GAEBRIELLE ALBAY</v>
      </c>
      <c r="B46" t="str">
        <f>IFERROR(_xlfn.LET(_xlpm.s,SUBSTITUTE(IF(EST!$P46=1,EST!H46,EST!B46)," ",""),IF(_xlpm.s="OFF","OFF",TEXT(MOD(TIMEVALUE(_xlfn.TEXTBEFORE(_xlpm.s,"-"))+0.5,1),"hh:mm")&amp;" - "&amp;TEXT(MOD(TIMEVALUE(_xlfn.TEXTAFTER(_xlpm.s,"-"))+0.5,1),"hh:mm"))),IF(EST!$P46=1,EST!H46,EST!B46))</f>
        <v>OFF</v>
      </c>
      <c r="C46" t="str">
        <f>IFERROR(_xlfn.LET(_xlpm.s,SUBSTITUTE(IF(EST!$P46=1,EST!B46,EST!C46)," ",""),IF(_xlpm.s="OFF","OFF",TEXT(MOD(TIMEVALUE(_xlfn.TEXTBEFORE(_xlpm.s,"-"))+0.5,1),"hh:mm")&amp;" - "&amp;TEXT(MOD(TIMEVALUE(_xlfn.TEXTAFTER(_xlpm.s,"-"))+0.5,1),"hh:mm"))),IF(EST!$P46=1,EST!B46,EST!C46))</f>
        <v>21:00 - 08:00</v>
      </c>
      <c r="D46" t="str">
        <f>IFERROR(_xlfn.LET(_xlpm.s,SUBSTITUTE(IF(EST!$P46=1,EST!C46,EST!D46)," ",""),IF(_xlpm.s="OFF","OFF",TEXT(MOD(TIMEVALUE(_xlfn.TEXTBEFORE(_xlpm.s,"-"))+0.5,1),"hh:mm")&amp;" - "&amp;TEXT(MOD(TIMEVALUE(_xlfn.TEXTAFTER(_xlpm.s,"-"))+0.5,1),"hh:mm"))),IF(EST!$P46=1,EST!C46,EST!D46))</f>
        <v>21:00 - 08:00</v>
      </c>
      <c r="E46" t="str">
        <f>IFERROR(_xlfn.LET(_xlpm.s,SUBSTITUTE(IF(EST!$P46=1,EST!D46,EST!E46)," ",""),IF(_xlpm.s="OFF","OFF",TEXT(MOD(TIMEVALUE(_xlfn.TEXTBEFORE(_xlpm.s,"-"))+0.5,1),"hh:mm")&amp;" - "&amp;TEXT(MOD(TIMEVALUE(_xlfn.TEXTAFTER(_xlpm.s,"-"))+0.5,1),"hh:mm"))),IF(EST!$P46=1,EST!D46,EST!E46))</f>
        <v>21:00 - 08:00</v>
      </c>
      <c r="F46" t="str">
        <f>IFERROR(_xlfn.LET(_xlpm.s,SUBSTITUTE(IF(EST!$P46=1,EST!E46,EST!F46)," ",""),IF(_xlpm.s="OFF","OFF",TEXT(MOD(TIMEVALUE(_xlfn.TEXTBEFORE(_xlpm.s,"-"))+0.5,1),"hh:mm")&amp;" - "&amp;TEXT(MOD(TIMEVALUE(_xlfn.TEXTAFTER(_xlpm.s,"-"))+0.5,1),"hh:mm"))),IF(EST!$P46=1,EST!E46,EST!F46))</f>
        <v>21:00 - 08:00</v>
      </c>
      <c r="G46" t="str">
        <f>IFERROR(_xlfn.LET(_xlpm.s,SUBSTITUTE(IF(EST!$P46=1,EST!F46,EST!G46)," ",""),IF(_xlpm.s="OFF","OFF",TEXT(MOD(TIMEVALUE(_xlfn.TEXTBEFORE(_xlpm.s,"-"))+0.5,1),"hh:mm")&amp;" - "&amp;TEXT(MOD(TIMEVALUE(_xlfn.TEXTAFTER(_xlpm.s,"-"))+0.5,1),"hh:mm"))),IF(EST!$P46=1,EST!F46,EST!G46))</f>
        <v>OFF</v>
      </c>
      <c r="H46" t="str">
        <f>IFERROR(_xlfn.LET(_xlpm.s,SUBSTITUTE(IF(EST!$P46=1,EST!G46,EST!H46)," ",""),IF(_xlpm.s="OFF","OFF",TEXT(MOD(TIMEVALUE(_xlfn.TEXTBEFORE(_xlpm.s,"-"))+0.5,1),"hh:mm")&amp;" - "&amp;TEXT(MOD(TIMEVALUE(_xlfn.TEXTAFTER(_xlpm.s,"-"))+0.5,1),"hh:mm"))),IF(EST!$P46=1,EST!G46,EST!H46))</f>
        <v>OFF</v>
      </c>
      <c r="I46" t="str">
        <f t="shared" si="1"/>
        <v>Mon - Sat - Sun</v>
      </c>
      <c r="J46" s="38">
        <f>MOD(EST!J46+TIME(12,0,0),1)</f>
        <v>0.96875</v>
      </c>
      <c r="K46" s="38">
        <f>MOD(EST!K46+TIME(12,0,0),1)</f>
        <v>6.25E-2</v>
      </c>
      <c r="L46" s="38">
        <f>MOD(EST!L46+TIME(12,0,0),1)</f>
        <v>0.125</v>
      </c>
      <c r="M46" s="38">
        <f>MOD(EST!M46+TIME(12,0,0),1)</f>
        <v>0.28125</v>
      </c>
      <c r="N46" t="str">
        <f>EST!N46</f>
        <v>Michael Dominguez</v>
      </c>
    </row>
    <row r="47" spans="1:14" x14ac:dyDescent="0.3">
      <c r="A47" t="str">
        <f>EST!A47</f>
        <v>MARK RAYMOND MANGASER</v>
      </c>
      <c r="B47" t="str">
        <f>IFERROR(_xlfn.LET(_xlpm.s,SUBSTITUTE(IF(EST!$P47=1,EST!H47,EST!B47)," ",""),IF(_xlpm.s="OFF","OFF",TEXT(MOD(TIMEVALUE(_xlfn.TEXTBEFORE(_xlpm.s,"-"))+0.5,1),"hh:mm")&amp;" - "&amp;TEXT(MOD(TIMEVALUE(_xlfn.TEXTAFTER(_xlpm.s,"-"))+0.5,1),"hh:mm"))),IF(EST!$P47=1,EST!H47,EST!B47))</f>
        <v>17:00 - 04:00</v>
      </c>
      <c r="C47" t="str">
        <f>IFERROR(_xlfn.LET(_xlpm.s,SUBSTITUTE(IF(EST!$P47=1,EST!B47,EST!C47)," ",""),IF(_xlpm.s="OFF","OFF",TEXT(MOD(TIMEVALUE(_xlfn.TEXTBEFORE(_xlpm.s,"-"))+0.5,1),"hh:mm")&amp;" - "&amp;TEXT(MOD(TIMEVALUE(_xlfn.TEXTAFTER(_xlpm.s,"-"))+0.5,1),"hh:mm"))),IF(EST!$P47=1,EST!B47,EST!C47))</f>
        <v>17:00 - 04:00</v>
      </c>
      <c r="D47" t="str">
        <f>IFERROR(_xlfn.LET(_xlpm.s,SUBSTITUTE(IF(EST!$P47=1,EST!C47,EST!D47)," ",""),IF(_xlpm.s="OFF","OFF",TEXT(MOD(TIMEVALUE(_xlfn.TEXTBEFORE(_xlpm.s,"-"))+0.5,1),"hh:mm")&amp;" - "&amp;TEXT(MOD(TIMEVALUE(_xlfn.TEXTAFTER(_xlpm.s,"-"))+0.5,1),"hh:mm"))),IF(EST!$P47=1,EST!C47,EST!D47))</f>
        <v>OFF</v>
      </c>
      <c r="E47" t="str">
        <f>IFERROR(_xlfn.LET(_xlpm.s,SUBSTITUTE(IF(EST!$P47=1,EST!D47,EST!E47)," ",""),IF(_xlpm.s="OFF","OFF",TEXT(MOD(TIMEVALUE(_xlfn.TEXTBEFORE(_xlpm.s,"-"))+0.5,1),"hh:mm")&amp;" - "&amp;TEXT(MOD(TIMEVALUE(_xlfn.TEXTAFTER(_xlpm.s,"-"))+0.5,1),"hh:mm"))),IF(EST!$P47=1,EST!D47,EST!E47))</f>
        <v>OFF</v>
      </c>
      <c r="F47" t="str">
        <f>IFERROR(_xlfn.LET(_xlpm.s,SUBSTITUTE(IF(EST!$P47=1,EST!E47,EST!F47)," ",""),IF(_xlpm.s="OFF","OFF",TEXT(MOD(TIMEVALUE(_xlfn.TEXTBEFORE(_xlpm.s,"-"))+0.5,1),"hh:mm")&amp;" - "&amp;TEXT(MOD(TIMEVALUE(_xlfn.TEXTAFTER(_xlpm.s,"-"))+0.5,1),"hh:mm"))),IF(EST!$P47=1,EST!E47,EST!F47))</f>
        <v>OFF</v>
      </c>
      <c r="G47" t="str">
        <f>IFERROR(_xlfn.LET(_xlpm.s,SUBSTITUTE(IF(EST!$P47=1,EST!F47,EST!G47)," ",""),IF(_xlpm.s="OFF","OFF",TEXT(MOD(TIMEVALUE(_xlfn.TEXTBEFORE(_xlpm.s,"-"))+0.5,1),"hh:mm")&amp;" - "&amp;TEXT(MOD(TIMEVALUE(_xlfn.TEXTAFTER(_xlpm.s,"-"))+0.5,1),"hh:mm"))),IF(EST!$P47=1,EST!F47,EST!G47))</f>
        <v>17:00 - 04:00</v>
      </c>
      <c r="H47" t="str">
        <f>IFERROR(_xlfn.LET(_xlpm.s,SUBSTITUTE(IF(EST!$P47=1,EST!G47,EST!H47)," ",""),IF(_xlpm.s="OFF","OFF",TEXT(MOD(TIMEVALUE(_xlfn.TEXTBEFORE(_xlpm.s,"-"))+0.5,1),"hh:mm")&amp;" - "&amp;TEXT(MOD(TIMEVALUE(_xlfn.TEXTAFTER(_xlpm.s,"-"))+0.5,1),"hh:mm"))),IF(EST!$P47=1,EST!G47,EST!H47))</f>
        <v>17:00 - 04:00</v>
      </c>
      <c r="I47" t="str">
        <f t="shared" si="1"/>
        <v>Wed - Thu - Fri</v>
      </c>
      <c r="J47" s="38">
        <f>MOD(EST!J47+TIME(12,0,0),1)</f>
        <v>0.79166666666666674</v>
      </c>
      <c r="K47" s="38">
        <f>MOD(EST!K47+TIME(12,0,0),1)</f>
        <v>1.0416666666666519E-2</v>
      </c>
      <c r="L47" s="38">
        <f>MOD(EST!L47+TIME(12,0,0),1)</f>
        <v>0.88541666666666674</v>
      </c>
      <c r="M47" s="38">
        <f>MOD(EST!M47+TIME(12,0,0),1)</f>
        <v>0.11458333333333348</v>
      </c>
      <c r="N47" t="str">
        <f>EST!N47</f>
        <v>Remmo Panaligan</v>
      </c>
    </row>
    <row r="48" spans="1:14" x14ac:dyDescent="0.3">
      <c r="A48" t="str">
        <f>EST!A48</f>
        <v>MARY ANGELINE FAJARDO</v>
      </c>
      <c r="B48" t="str">
        <f>IFERROR(_xlfn.LET(_xlpm.s,SUBSTITUTE(IF(EST!$P48=1,EST!H48,EST!B48)," ",""),IF(_xlpm.s="OFF","OFF",TEXT(MOD(TIMEVALUE(_xlfn.TEXTBEFORE(_xlpm.s,"-"))+0.5,1),"hh:mm")&amp;" - "&amp;TEXT(MOD(TIMEVALUE(_xlfn.TEXTAFTER(_xlpm.s,"-"))+0.5,1),"hh:mm"))),IF(EST!$P48=1,EST!H48,EST!B48))</f>
        <v>OFF</v>
      </c>
      <c r="C48" t="str">
        <f>IFERROR(_xlfn.LET(_xlpm.s,SUBSTITUTE(IF(EST!$P48=1,EST!B48,EST!C48)," ",""),IF(_xlpm.s="OFF","OFF",TEXT(MOD(TIMEVALUE(_xlfn.TEXTBEFORE(_xlpm.s,"-"))+0.5,1),"hh:mm")&amp;" - "&amp;TEXT(MOD(TIMEVALUE(_xlfn.TEXTAFTER(_xlpm.s,"-"))+0.5,1),"hh:mm"))),IF(EST!$P48=1,EST!B48,EST!C48))</f>
        <v>OFF</v>
      </c>
      <c r="D48" t="str">
        <f>IFERROR(_xlfn.LET(_xlpm.s,SUBSTITUTE(IF(EST!$P48=1,EST!C48,EST!D48)," ",""),IF(_xlpm.s="OFF","OFF",TEXT(MOD(TIMEVALUE(_xlfn.TEXTBEFORE(_xlpm.s,"-"))+0.5,1),"hh:mm")&amp;" - "&amp;TEXT(MOD(TIMEVALUE(_xlfn.TEXTAFTER(_xlpm.s,"-"))+0.5,1),"hh:mm"))),IF(EST!$P48=1,EST!C48,EST!D48))</f>
        <v>OFF</v>
      </c>
      <c r="E48" t="str">
        <f>IFERROR(_xlfn.LET(_xlpm.s,SUBSTITUTE(IF(EST!$P48=1,EST!D48,EST!E48)," ",""),IF(_xlpm.s="OFF","OFF",TEXT(MOD(TIMEVALUE(_xlfn.TEXTBEFORE(_xlpm.s,"-"))+0.5,1),"hh:mm")&amp;" - "&amp;TEXT(MOD(TIMEVALUE(_xlfn.TEXTAFTER(_xlpm.s,"-"))+0.5,1),"hh:mm"))),IF(EST!$P48=1,EST!D48,EST!E48))</f>
        <v>08:00 - 19:00</v>
      </c>
      <c r="F48" t="str">
        <f>IFERROR(_xlfn.LET(_xlpm.s,SUBSTITUTE(IF(EST!$P48=1,EST!E48,EST!F48)," ",""),IF(_xlpm.s="OFF","OFF",TEXT(MOD(TIMEVALUE(_xlfn.TEXTBEFORE(_xlpm.s,"-"))+0.5,1),"hh:mm")&amp;" - "&amp;TEXT(MOD(TIMEVALUE(_xlfn.TEXTAFTER(_xlpm.s,"-"))+0.5,1),"hh:mm"))),IF(EST!$P48=1,EST!E48,EST!F48))</f>
        <v>08:00 - 19:00</v>
      </c>
      <c r="G48" t="str">
        <f>IFERROR(_xlfn.LET(_xlpm.s,SUBSTITUTE(IF(EST!$P48=1,EST!F48,EST!G48)," ",""),IF(_xlpm.s="OFF","OFF",TEXT(MOD(TIMEVALUE(_xlfn.TEXTBEFORE(_xlpm.s,"-"))+0.5,1),"hh:mm")&amp;" - "&amp;TEXT(MOD(TIMEVALUE(_xlfn.TEXTAFTER(_xlpm.s,"-"))+0.5,1),"hh:mm"))),IF(EST!$P48=1,EST!F48,EST!G48))</f>
        <v>08:00 - 19:00</v>
      </c>
      <c r="H48" t="str">
        <f>IFERROR(_xlfn.LET(_xlpm.s,SUBSTITUTE(IF(EST!$P48=1,EST!G48,EST!H48)," ",""),IF(_xlpm.s="OFF","OFF",TEXT(MOD(TIMEVALUE(_xlfn.TEXTBEFORE(_xlpm.s,"-"))+0.5,1),"hh:mm")&amp;" - "&amp;TEXT(MOD(TIMEVALUE(_xlfn.TEXTAFTER(_xlpm.s,"-"))+0.5,1),"hh:mm"))),IF(EST!$P48=1,EST!G48,EST!H48))</f>
        <v>08:00 - 19:00</v>
      </c>
      <c r="I48" t="str">
        <f t="shared" si="1"/>
        <v>Mon - Tue - Wed</v>
      </c>
      <c r="J48" s="38">
        <f>MOD(EST!J48+TIME(12,0,0),1)</f>
        <v>0.41666666666666652</v>
      </c>
      <c r="K48" s="38">
        <f>MOD(EST!K48+TIME(12,0,0),1)</f>
        <v>0.52083333333333337</v>
      </c>
      <c r="L48" s="38">
        <f>MOD(EST!L48+TIME(12,0,0),1)</f>
        <v>0.60416666666666663</v>
      </c>
      <c r="M48" s="38">
        <f>MOD(EST!M48+TIME(12,0,0),1)</f>
        <v>0.75</v>
      </c>
      <c r="N48" t="str">
        <f>EST!N48</f>
        <v>Christopher Rodas</v>
      </c>
    </row>
    <row r="49" spans="1:14" x14ac:dyDescent="0.3">
      <c r="A49" t="str">
        <f>EST!A49</f>
        <v>MARY JOY DELOS SANTOS</v>
      </c>
      <c r="B49" t="str">
        <f>IFERROR(_xlfn.LET(_xlpm.s,SUBSTITUTE(IF(EST!$P49=1,EST!H49,EST!B49)," ",""),IF(_xlpm.s="OFF","OFF",TEXT(MOD(TIMEVALUE(_xlfn.TEXTBEFORE(_xlpm.s,"-"))+0.5,1),"hh:mm")&amp;" - "&amp;TEXT(MOD(TIMEVALUE(_xlfn.TEXTAFTER(_xlpm.s,"-"))+0.5,1),"hh:mm"))),IF(EST!$P49=1,EST!H49,EST!B49))</f>
        <v>10:00 - 21:00</v>
      </c>
      <c r="C49" t="str">
        <f>IFERROR(_xlfn.LET(_xlpm.s,SUBSTITUTE(IF(EST!$P49=1,EST!B49,EST!C49)," ",""),IF(_xlpm.s="OFF","OFF",TEXT(MOD(TIMEVALUE(_xlfn.TEXTBEFORE(_xlpm.s,"-"))+0.5,1),"hh:mm")&amp;" - "&amp;TEXT(MOD(TIMEVALUE(_xlfn.TEXTAFTER(_xlpm.s,"-"))+0.5,1),"hh:mm"))),IF(EST!$P49=1,EST!B49,EST!C49))</f>
        <v>10:00 - 21:00</v>
      </c>
      <c r="D49" t="str">
        <f>IFERROR(_xlfn.LET(_xlpm.s,SUBSTITUTE(IF(EST!$P49=1,EST!C49,EST!D49)," ",""),IF(_xlpm.s="OFF","OFF",TEXT(MOD(TIMEVALUE(_xlfn.TEXTBEFORE(_xlpm.s,"-"))+0.5,1),"hh:mm")&amp;" - "&amp;TEXT(MOD(TIMEVALUE(_xlfn.TEXTAFTER(_xlpm.s,"-"))+0.5,1),"hh:mm"))),IF(EST!$P49=1,EST!C49,EST!D49))</f>
        <v>10:00 - 21:00</v>
      </c>
      <c r="E49" t="str">
        <f>IFERROR(_xlfn.LET(_xlpm.s,SUBSTITUTE(IF(EST!$P49=1,EST!D49,EST!E49)," ",""),IF(_xlpm.s="OFF","OFF",TEXT(MOD(TIMEVALUE(_xlfn.TEXTBEFORE(_xlpm.s,"-"))+0.5,1),"hh:mm")&amp;" - "&amp;TEXT(MOD(TIMEVALUE(_xlfn.TEXTAFTER(_xlpm.s,"-"))+0.5,1),"hh:mm"))),IF(EST!$P49=1,EST!D49,EST!E49))</f>
        <v>10:00 - 21:00</v>
      </c>
      <c r="F49" t="str">
        <f>IFERROR(_xlfn.LET(_xlpm.s,SUBSTITUTE(IF(EST!$P49=1,EST!E49,EST!F49)," ",""),IF(_xlpm.s="OFF","OFF",TEXT(MOD(TIMEVALUE(_xlfn.TEXTBEFORE(_xlpm.s,"-"))+0.5,1),"hh:mm")&amp;" - "&amp;TEXT(MOD(TIMEVALUE(_xlfn.TEXTAFTER(_xlpm.s,"-"))+0.5,1),"hh:mm"))),IF(EST!$P49=1,EST!E49,EST!F49))</f>
        <v>OFF</v>
      </c>
      <c r="G49" t="str">
        <f>IFERROR(_xlfn.LET(_xlpm.s,SUBSTITUTE(IF(EST!$P49=1,EST!F49,EST!G49)," ",""),IF(_xlpm.s="OFF","OFF",TEXT(MOD(TIMEVALUE(_xlfn.TEXTBEFORE(_xlpm.s,"-"))+0.5,1),"hh:mm")&amp;" - "&amp;TEXT(MOD(TIMEVALUE(_xlfn.TEXTAFTER(_xlpm.s,"-"))+0.5,1),"hh:mm"))),IF(EST!$P49=1,EST!F49,EST!G49))</f>
        <v>OFF</v>
      </c>
      <c r="H49" t="str">
        <f>IFERROR(_xlfn.LET(_xlpm.s,SUBSTITUTE(IF(EST!$P49=1,EST!G49,EST!H49)," ",""),IF(_xlpm.s="OFF","OFF",TEXT(MOD(TIMEVALUE(_xlfn.TEXTBEFORE(_xlpm.s,"-"))+0.5,1),"hh:mm")&amp;" - "&amp;TEXT(MOD(TIMEVALUE(_xlfn.TEXTAFTER(_xlpm.s,"-"))+0.5,1),"hh:mm"))),IF(EST!$P49=1,EST!G49,EST!H49))</f>
        <v>OFF</v>
      </c>
      <c r="I49" t="str">
        <f t="shared" si="1"/>
        <v>Fri - Sat - Sun</v>
      </c>
      <c r="J49" s="38">
        <f>MOD(EST!J49+TIME(12,0,0),1)</f>
        <v>0.5</v>
      </c>
      <c r="K49" s="38">
        <f>MOD(EST!K49+TIME(12,0,0),1)</f>
        <v>0.69791666666666663</v>
      </c>
      <c r="L49" s="38">
        <f>MOD(EST!L49+TIME(12,0,0),1)</f>
        <v>0.59375</v>
      </c>
      <c r="M49" s="38">
        <f>MOD(EST!M49+TIME(12,0,0),1)</f>
        <v>0.80208333333333326</v>
      </c>
      <c r="N49" t="str">
        <f>EST!N49</f>
        <v>Manilyn Abellar</v>
      </c>
    </row>
    <row r="50" spans="1:14" x14ac:dyDescent="0.3">
      <c r="A50" t="str">
        <f>EST!A50</f>
        <v>MHAR ANTHONY JUEZAN</v>
      </c>
      <c r="B50" t="str">
        <f>IFERROR(_xlfn.LET(_xlpm.s,SUBSTITUTE(IF(EST!$P50=1,EST!H50,EST!B50)," ",""),IF(_xlpm.s="OFF","OFF",TEXT(MOD(TIMEVALUE(_xlfn.TEXTBEFORE(_xlpm.s,"-"))+0.5,1),"hh:mm")&amp;" - "&amp;TEXT(MOD(TIMEVALUE(_xlfn.TEXTAFTER(_xlpm.s,"-"))+0.5,1),"hh:mm"))),IF(EST!$P50=1,EST!H50,EST!B50))</f>
        <v>OFF</v>
      </c>
      <c r="C50" t="str">
        <f>IFERROR(_xlfn.LET(_xlpm.s,SUBSTITUTE(IF(EST!$P50=1,EST!B50,EST!C50)," ",""),IF(_xlpm.s="OFF","OFF",TEXT(MOD(TIMEVALUE(_xlfn.TEXTBEFORE(_xlpm.s,"-"))+0.5,1),"hh:mm")&amp;" - "&amp;TEXT(MOD(TIMEVALUE(_xlfn.TEXTAFTER(_xlpm.s,"-"))+0.5,1),"hh:mm"))),IF(EST!$P50=1,EST!B50,EST!C50))</f>
        <v>OFF</v>
      </c>
      <c r="D50" t="str">
        <f>IFERROR(_xlfn.LET(_xlpm.s,SUBSTITUTE(IF(EST!$P50=1,EST!C50,EST!D50)," ",""),IF(_xlpm.s="OFF","OFF",TEXT(MOD(TIMEVALUE(_xlfn.TEXTBEFORE(_xlpm.s,"-"))+0.5,1),"hh:mm")&amp;" - "&amp;TEXT(MOD(TIMEVALUE(_xlfn.TEXTAFTER(_xlpm.s,"-"))+0.5,1),"hh:mm"))),IF(EST!$P50=1,EST!C50,EST!D50))</f>
        <v>OFF</v>
      </c>
      <c r="E50" t="str">
        <f>IFERROR(_xlfn.LET(_xlpm.s,SUBSTITUTE(IF(EST!$P50=1,EST!D50,EST!E50)," ",""),IF(_xlpm.s="OFF","OFF",TEXT(MOD(TIMEVALUE(_xlfn.TEXTBEFORE(_xlpm.s,"-"))+0.5,1),"hh:mm")&amp;" - "&amp;TEXT(MOD(TIMEVALUE(_xlfn.TEXTAFTER(_xlpm.s,"-"))+0.5,1),"hh:mm"))),IF(EST!$P50=1,EST!D50,EST!E50))</f>
        <v>22:00 - 09:00</v>
      </c>
      <c r="F50" t="str">
        <f>IFERROR(_xlfn.LET(_xlpm.s,SUBSTITUTE(IF(EST!$P50=1,EST!E50,EST!F50)," ",""),IF(_xlpm.s="OFF","OFF",TEXT(MOD(TIMEVALUE(_xlfn.TEXTBEFORE(_xlpm.s,"-"))+0.5,1),"hh:mm")&amp;" - "&amp;TEXT(MOD(TIMEVALUE(_xlfn.TEXTAFTER(_xlpm.s,"-"))+0.5,1),"hh:mm"))),IF(EST!$P50=1,EST!E50,EST!F50))</f>
        <v>22:00 - 09:00</v>
      </c>
      <c r="G50" t="str">
        <f>IFERROR(_xlfn.LET(_xlpm.s,SUBSTITUTE(IF(EST!$P50=1,EST!F50,EST!G50)," ",""),IF(_xlpm.s="OFF","OFF",TEXT(MOD(TIMEVALUE(_xlfn.TEXTBEFORE(_xlpm.s,"-"))+0.5,1),"hh:mm")&amp;" - "&amp;TEXT(MOD(TIMEVALUE(_xlfn.TEXTAFTER(_xlpm.s,"-"))+0.5,1),"hh:mm"))),IF(EST!$P50=1,EST!F50,EST!G50))</f>
        <v>22:00 - 09:00</v>
      </c>
      <c r="H50" t="str">
        <f>IFERROR(_xlfn.LET(_xlpm.s,SUBSTITUTE(IF(EST!$P50=1,EST!G50,EST!H50)," ",""),IF(_xlpm.s="OFF","OFF",TEXT(MOD(TIMEVALUE(_xlfn.TEXTBEFORE(_xlpm.s,"-"))+0.5,1),"hh:mm")&amp;" - "&amp;TEXT(MOD(TIMEVALUE(_xlfn.TEXTAFTER(_xlpm.s,"-"))+0.5,1),"hh:mm"))),IF(EST!$P50=1,EST!G50,EST!H50))</f>
        <v>22:00 - 09:00</v>
      </c>
      <c r="I50" t="str">
        <f t="shared" si="1"/>
        <v>Mon - Tue - Wed</v>
      </c>
      <c r="J50" s="38">
        <f>MOD(EST!J50+TIME(12,0,0),1)</f>
        <v>0</v>
      </c>
      <c r="K50" s="38">
        <f>MOD(EST!K50+TIME(12,0,0),1)</f>
        <v>0.22916666666666652</v>
      </c>
      <c r="L50" s="38">
        <f>MOD(EST!L50+TIME(12,0,0),1)</f>
        <v>0.10416666666666652</v>
      </c>
      <c r="M50" s="38">
        <f>MOD(EST!M50+TIME(12,0,0),1)</f>
        <v>0.32291666666666652</v>
      </c>
      <c r="N50" t="str">
        <f>EST!N50</f>
        <v>Christopher Rodas</v>
      </c>
    </row>
    <row r="51" spans="1:14" x14ac:dyDescent="0.3">
      <c r="A51" t="str">
        <f>EST!A51</f>
        <v>MICHELLE CORBETA</v>
      </c>
      <c r="B51" t="str">
        <f>IFERROR(_xlfn.LET(_xlpm.s,SUBSTITUTE(IF(EST!$P51=1,EST!H51,EST!B51)," ",""),IF(_xlpm.s="OFF","OFF",TEXT(MOD(TIMEVALUE(_xlfn.TEXTBEFORE(_xlpm.s,"-"))+0.5,1),"hh:mm")&amp;" - "&amp;TEXT(MOD(TIMEVALUE(_xlfn.TEXTAFTER(_xlpm.s,"-"))+0.5,1),"hh:mm"))),IF(EST!$P51=1,EST!H51,EST!B51))</f>
        <v>21:00 - 08:00</v>
      </c>
      <c r="C51" t="str">
        <f>IFERROR(_xlfn.LET(_xlpm.s,SUBSTITUTE(IF(EST!$P51=1,EST!B51,EST!C51)," ",""),IF(_xlpm.s="OFF","OFF",TEXT(MOD(TIMEVALUE(_xlfn.TEXTBEFORE(_xlpm.s,"-"))+0.5,1),"hh:mm")&amp;" - "&amp;TEXT(MOD(TIMEVALUE(_xlfn.TEXTAFTER(_xlpm.s,"-"))+0.5,1),"hh:mm"))),IF(EST!$P51=1,EST!B51,EST!C51))</f>
        <v>OFF</v>
      </c>
      <c r="D51" t="str">
        <f>IFERROR(_xlfn.LET(_xlpm.s,SUBSTITUTE(IF(EST!$P51=1,EST!C51,EST!D51)," ",""),IF(_xlpm.s="OFF","OFF",TEXT(MOD(TIMEVALUE(_xlfn.TEXTBEFORE(_xlpm.s,"-"))+0.5,1),"hh:mm")&amp;" - "&amp;TEXT(MOD(TIMEVALUE(_xlfn.TEXTAFTER(_xlpm.s,"-"))+0.5,1),"hh:mm"))),IF(EST!$P51=1,EST!C51,EST!D51))</f>
        <v>OFF</v>
      </c>
      <c r="E51" t="str">
        <f>IFERROR(_xlfn.LET(_xlpm.s,SUBSTITUTE(IF(EST!$P51=1,EST!D51,EST!E51)," ",""),IF(_xlpm.s="OFF","OFF",TEXT(MOD(TIMEVALUE(_xlfn.TEXTBEFORE(_xlpm.s,"-"))+0.5,1),"hh:mm")&amp;" - "&amp;TEXT(MOD(TIMEVALUE(_xlfn.TEXTAFTER(_xlpm.s,"-"))+0.5,1),"hh:mm"))),IF(EST!$P51=1,EST!D51,EST!E51))</f>
        <v>OFF</v>
      </c>
      <c r="F51" t="str">
        <f>IFERROR(_xlfn.LET(_xlpm.s,SUBSTITUTE(IF(EST!$P51=1,EST!E51,EST!F51)," ",""),IF(_xlpm.s="OFF","OFF",TEXT(MOD(TIMEVALUE(_xlfn.TEXTBEFORE(_xlpm.s,"-"))+0.5,1),"hh:mm")&amp;" - "&amp;TEXT(MOD(TIMEVALUE(_xlfn.TEXTAFTER(_xlpm.s,"-"))+0.5,1),"hh:mm"))),IF(EST!$P51=1,EST!E51,EST!F51))</f>
        <v>21:00 - 08:00</v>
      </c>
      <c r="G51" t="str">
        <f>IFERROR(_xlfn.LET(_xlpm.s,SUBSTITUTE(IF(EST!$P51=1,EST!F51,EST!G51)," ",""),IF(_xlpm.s="OFF","OFF",TEXT(MOD(TIMEVALUE(_xlfn.TEXTBEFORE(_xlpm.s,"-"))+0.5,1),"hh:mm")&amp;" - "&amp;TEXT(MOD(TIMEVALUE(_xlfn.TEXTAFTER(_xlpm.s,"-"))+0.5,1),"hh:mm"))),IF(EST!$P51=1,EST!F51,EST!G51))</f>
        <v>21:00 - 08:00</v>
      </c>
      <c r="H51" t="str">
        <f>IFERROR(_xlfn.LET(_xlpm.s,SUBSTITUTE(IF(EST!$P51=1,EST!G51,EST!H51)," ",""),IF(_xlpm.s="OFF","OFF",TEXT(MOD(TIMEVALUE(_xlfn.TEXTBEFORE(_xlpm.s,"-"))+0.5,1),"hh:mm")&amp;" - "&amp;TEXT(MOD(TIMEVALUE(_xlfn.TEXTAFTER(_xlpm.s,"-"))+0.5,1),"hh:mm"))),IF(EST!$P51=1,EST!G51,EST!H51))</f>
        <v>21:00 - 08:00</v>
      </c>
      <c r="I51" t="str">
        <f t="shared" si="1"/>
        <v>Tue - Wed - Thu</v>
      </c>
      <c r="J51" s="38">
        <f>MOD(EST!J51+TIME(12,0,0),1)</f>
        <v>0.96875</v>
      </c>
      <c r="K51" s="38">
        <f>MOD(EST!K51+TIME(12,0,0),1)</f>
        <v>6.25E-2</v>
      </c>
      <c r="L51" s="38">
        <f>MOD(EST!L51+TIME(12,0,0),1)</f>
        <v>0.125</v>
      </c>
      <c r="M51" s="38">
        <f>MOD(EST!M51+TIME(12,0,0),1)</f>
        <v>0.27083333333333348</v>
      </c>
      <c r="N51" t="str">
        <f>EST!N51</f>
        <v>Christopher Rodas</v>
      </c>
    </row>
    <row r="52" spans="1:14" x14ac:dyDescent="0.3">
      <c r="A52" t="str">
        <f>EST!A52</f>
        <v>PATRICIA GILAN VILLAS</v>
      </c>
      <c r="B52" t="str">
        <f>IFERROR(_xlfn.LET(_xlpm.s,SUBSTITUTE(IF(EST!$P52=1,EST!H52,EST!B52)," ",""),IF(_xlpm.s="OFF","OFF",TEXT(MOD(TIMEVALUE(_xlfn.TEXTBEFORE(_xlpm.s,"-"))+0.5,1),"hh:mm")&amp;" - "&amp;TEXT(MOD(TIMEVALUE(_xlfn.TEXTAFTER(_xlpm.s,"-"))+0.5,1),"hh:mm"))),IF(EST!$P52=1,EST!H52,EST!B52))</f>
        <v>21:00 - 08:00</v>
      </c>
      <c r="C52" t="str">
        <f>IFERROR(_xlfn.LET(_xlpm.s,SUBSTITUTE(IF(EST!$P52=1,EST!B52,EST!C52)," ",""),IF(_xlpm.s="OFF","OFF",TEXT(MOD(TIMEVALUE(_xlfn.TEXTBEFORE(_xlpm.s,"-"))+0.5,1),"hh:mm")&amp;" - "&amp;TEXT(MOD(TIMEVALUE(_xlfn.TEXTAFTER(_xlpm.s,"-"))+0.5,1),"hh:mm"))),IF(EST!$P52=1,EST!B52,EST!C52))</f>
        <v>OFF</v>
      </c>
      <c r="D52" t="str">
        <f>IFERROR(_xlfn.LET(_xlpm.s,SUBSTITUTE(IF(EST!$P52=1,EST!C52,EST!D52)," ",""),IF(_xlpm.s="OFF","OFF",TEXT(MOD(TIMEVALUE(_xlfn.TEXTBEFORE(_xlpm.s,"-"))+0.5,1),"hh:mm")&amp;" - "&amp;TEXT(MOD(TIMEVALUE(_xlfn.TEXTAFTER(_xlpm.s,"-"))+0.5,1),"hh:mm"))),IF(EST!$P52=1,EST!C52,EST!D52))</f>
        <v>OFF</v>
      </c>
      <c r="E52" t="str">
        <f>IFERROR(_xlfn.LET(_xlpm.s,SUBSTITUTE(IF(EST!$P52=1,EST!D52,EST!E52)," ",""),IF(_xlpm.s="OFF","OFF",TEXT(MOD(TIMEVALUE(_xlfn.TEXTBEFORE(_xlpm.s,"-"))+0.5,1),"hh:mm")&amp;" - "&amp;TEXT(MOD(TIMEVALUE(_xlfn.TEXTAFTER(_xlpm.s,"-"))+0.5,1),"hh:mm"))),IF(EST!$P52=1,EST!D52,EST!E52))</f>
        <v>OFF</v>
      </c>
      <c r="F52" t="str">
        <f>IFERROR(_xlfn.LET(_xlpm.s,SUBSTITUTE(IF(EST!$P52=1,EST!E52,EST!F52)," ",""),IF(_xlpm.s="OFF","OFF",TEXT(MOD(TIMEVALUE(_xlfn.TEXTBEFORE(_xlpm.s,"-"))+0.5,1),"hh:mm")&amp;" - "&amp;TEXT(MOD(TIMEVALUE(_xlfn.TEXTAFTER(_xlpm.s,"-"))+0.5,1),"hh:mm"))),IF(EST!$P52=1,EST!E52,EST!F52))</f>
        <v>21:00 - 08:00</v>
      </c>
      <c r="G52" t="str">
        <f>IFERROR(_xlfn.LET(_xlpm.s,SUBSTITUTE(IF(EST!$P52=1,EST!F52,EST!G52)," ",""),IF(_xlpm.s="OFF","OFF",TEXT(MOD(TIMEVALUE(_xlfn.TEXTBEFORE(_xlpm.s,"-"))+0.5,1),"hh:mm")&amp;" - "&amp;TEXT(MOD(TIMEVALUE(_xlfn.TEXTAFTER(_xlpm.s,"-"))+0.5,1),"hh:mm"))),IF(EST!$P52=1,EST!F52,EST!G52))</f>
        <v>21:00 - 08:00</v>
      </c>
      <c r="H52" t="str">
        <f>IFERROR(_xlfn.LET(_xlpm.s,SUBSTITUTE(IF(EST!$P52=1,EST!G52,EST!H52)," ",""),IF(_xlpm.s="OFF","OFF",TEXT(MOD(TIMEVALUE(_xlfn.TEXTBEFORE(_xlpm.s,"-"))+0.5,1),"hh:mm")&amp;" - "&amp;TEXT(MOD(TIMEVALUE(_xlfn.TEXTAFTER(_xlpm.s,"-"))+0.5,1),"hh:mm"))),IF(EST!$P52=1,EST!G52,EST!H52))</f>
        <v>21:00 - 08:00</v>
      </c>
      <c r="I52" t="str">
        <f t="shared" si="1"/>
        <v>Tue - Wed - Thu</v>
      </c>
      <c r="J52" s="38">
        <f>MOD(EST!J52+TIME(12,0,0),1)</f>
        <v>0.94791666666666674</v>
      </c>
      <c r="K52" s="38">
        <f>MOD(EST!K52+TIME(12,0,0),1)</f>
        <v>0.15625</v>
      </c>
      <c r="L52" s="38">
        <f>MOD(EST!L52+TIME(12,0,0),1)</f>
        <v>2.0833333333333481E-2</v>
      </c>
      <c r="M52" s="38">
        <f>MOD(EST!M52+TIME(12,0,0),1)</f>
        <v>0.26041666666666652</v>
      </c>
      <c r="N52" t="str">
        <f>EST!N52</f>
        <v>Anmecha Valencia</v>
      </c>
    </row>
    <row r="53" spans="1:14" x14ac:dyDescent="0.3">
      <c r="A53" t="str">
        <f>EST!A53</f>
        <v>RAQUELA NICOLE LARETA</v>
      </c>
      <c r="B53" t="str">
        <f>IFERROR(_xlfn.LET(_xlpm.s,SUBSTITUTE(IF(EST!$P53=1,EST!H53,EST!B53)," ",""),IF(_xlpm.s="OFF","OFF",TEXT(MOD(TIMEVALUE(_xlfn.TEXTBEFORE(_xlpm.s,"-"))+0.5,1),"hh:mm")&amp;" - "&amp;TEXT(MOD(TIMEVALUE(_xlfn.TEXTAFTER(_xlpm.s,"-"))+0.5,1),"hh:mm"))),IF(EST!$P53=1,EST!H53,EST!B53))</f>
        <v>05:00 - 16:00</v>
      </c>
      <c r="C53" t="str">
        <f>IFERROR(_xlfn.LET(_xlpm.s,SUBSTITUTE(IF(EST!$P53=1,EST!B53,EST!C53)," ",""),IF(_xlpm.s="OFF","OFF",TEXT(MOD(TIMEVALUE(_xlfn.TEXTBEFORE(_xlpm.s,"-"))+0.5,1),"hh:mm")&amp;" - "&amp;TEXT(MOD(TIMEVALUE(_xlfn.TEXTAFTER(_xlpm.s,"-"))+0.5,1),"hh:mm"))),IF(EST!$P53=1,EST!B53,EST!C53))</f>
        <v>05:00 - 16:00</v>
      </c>
      <c r="D53" t="str">
        <f>IFERROR(_xlfn.LET(_xlpm.s,SUBSTITUTE(IF(EST!$P53=1,EST!C53,EST!D53)," ",""),IF(_xlpm.s="OFF","OFF",TEXT(MOD(TIMEVALUE(_xlfn.TEXTBEFORE(_xlpm.s,"-"))+0.5,1),"hh:mm")&amp;" - "&amp;TEXT(MOD(TIMEVALUE(_xlfn.TEXTAFTER(_xlpm.s,"-"))+0.5,1),"hh:mm"))),IF(EST!$P53=1,EST!C53,EST!D53))</f>
        <v>05:00 - 16:00</v>
      </c>
      <c r="E53" t="str">
        <f>IFERROR(_xlfn.LET(_xlpm.s,SUBSTITUTE(IF(EST!$P53=1,EST!D53,EST!E53)," ",""),IF(_xlpm.s="OFF","OFF",TEXT(MOD(TIMEVALUE(_xlfn.TEXTBEFORE(_xlpm.s,"-"))+0.5,1),"hh:mm")&amp;" - "&amp;TEXT(MOD(TIMEVALUE(_xlfn.TEXTAFTER(_xlpm.s,"-"))+0.5,1),"hh:mm"))),IF(EST!$P53=1,EST!D53,EST!E53))</f>
        <v>OFF</v>
      </c>
      <c r="F53" t="str">
        <f>IFERROR(_xlfn.LET(_xlpm.s,SUBSTITUTE(IF(EST!$P53=1,EST!E53,EST!F53)," ",""),IF(_xlpm.s="OFF","OFF",TEXT(MOD(TIMEVALUE(_xlfn.TEXTBEFORE(_xlpm.s,"-"))+0.5,1),"hh:mm")&amp;" - "&amp;TEXT(MOD(TIMEVALUE(_xlfn.TEXTAFTER(_xlpm.s,"-"))+0.5,1),"hh:mm"))),IF(EST!$P53=1,EST!E53,EST!F53))</f>
        <v>OFF</v>
      </c>
      <c r="G53" t="str">
        <f>IFERROR(_xlfn.LET(_xlpm.s,SUBSTITUTE(IF(EST!$P53=1,EST!F53,EST!G53)," ",""),IF(_xlpm.s="OFF","OFF",TEXT(MOD(TIMEVALUE(_xlfn.TEXTBEFORE(_xlpm.s,"-"))+0.5,1),"hh:mm")&amp;" - "&amp;TEXT(MOD(TIMEVALUE(_xlfn.TEXTAFTER(_xlpm.s,"-"))+0.5,1),"hh:mm"))),IF(EST!$P53=1,EST!F53,EST!G53))</f>
        <v>OFF</v>
      </c>
      <c r="H53" t="str">
        <f>IFERROR(_xlfn.LET(_xlpm.s,SUBSTITUTE(IF(EST!$P53=1,EST!G53,EST!H53)," ",""),IF(_xlpm.s="OFF","OFF",TEXT(MOD(TIMEVALUE(_xlfn.TEXTBEFORE(_xlpm.s,"-"))+0.5,1),"hh:mm")&amp;" - "&amp;TEXT(MOD(TIMEVALUE(_xlfn.TEXTAFTER(_xlpm.s,"-"))+0.5,1),"hh:mm"))),IF(EST!$P53=1,EST!G53,EST!H53))</f>
        <v>05:00 - 16:00</v>
      </c>
      <c r="I53" t="str">
        <f t="shared" si="1"/>
        <v>Thu - Fri - Sat</v>
      </c>
      <c r="J53" s="38">
        <f>MOD(EST!J53+TIME(12,0,0),1)</f>
        <v>0.3125</v>
      </c>
      <c r="K53" s="38">
        <f>MOD(EST!K53+TIME(12,0,0),1)</f>
        <v>0.51041666666666663</v>
      </c>
      <c r="L53" s="38">
        <f>MOD(EST!L53+TIME(12,0,0),1)</f>
        <v>0.39583333333333348</v>
      </c>
      <c r="M53" s="38">
        <f>MOD(EST!M53+TIME(12,0,0),1)</f>
        <v>0.61458333333333337</v>
      </c>
      <c r="N53" t="str">
        <f>EST!N53</f>
        <v>Christopher Rodas</v>
      </c>
    </row>
    <row r="54" spans="1:14" x14ac:dyDescent="0.3">
      <c r="A54" t="str">
        <f>EST!A54</f>
        <v>RAYNIEL MARK INGAL</v>
      </c>
      <c r="B54" t="str">
        <f>IFERROR(_xlfn.LET(_xlpm.s,SUBSTITUTE(IF(EST!$P54=1,EST!H54,EST!B54)," ",""),IF(_xlpm.s="OFF","OFF",TEXT(MOD(TIMEVALUE(_xlfn.TEXTBEFORE(_xlpm.s,"-"))+0.5,1),"hh:mm")&amp;" - "&amp;TEXT(MOD(TIMEVALUE(_xlfn.TEXTAFTER(_xlpm.s,"-"))+0.5,1),"hh:mm"))),IF(EST!$P54=1,EST!H54,EST!B54))</f>
        <v>12:00 - 23:00</v>
      </c>
      <c r="C54" t="str">
        <f>IFERROR(_xlfn.LET(_xlpm.s,SUBSTITUTE(IF(EST!$P54=1,EST!B54,EST!C54)," ",""),IF(_xlpm.s="OFF","OFF",TEXT(MOD(TIMEVALUE(_xlfn.TEXTBEFORE(_xlpm.s,"-"))+0.5,1),"hh:mm")&amp;" - "&amp;TEXT(MOD(TIMEVALUE(_xlfn.TEXTAFTER(_xlpm.s,"-"))+0.5,1),"hh:mm"))),IF(EST!$P54=1,EST!B54,EST!C54))</f>
        <v>12:00 - 23:00</v>
      </c>
      <c r="D54" t="str">
        <f>IFERROR(_xlfn.LET(_xlpm.s,SUBSTITUTE(IF(EST!$P54=1,EST!C54,EST!D54)," ",""),IF(_xlpm.s="OFF","OFF",TEXT(MOD(TIMEVALUE(_xlfn.TEXTBEFORE(_xlpm.s,"-"))+0.5,1),"hh:mm")&amp;" - "&amp;TEXT(MOD(TIMEVALUE(_xlfn.TEXTAFTER(_xlpm.s,"-"))+0.5,1),"hh:mm"))),IF(EST!$P54=1,EST!C54,EST!D54))</f>
        <v>OFF</v>
      </c>
      <c r="E54" t="str">
        <f>IFERROR(_xlfn.LET(_xlpm.s,SUBSTITUTE(IF(EST!$P54=1,EST!D54,EST!E54)," ",""),IF(_xlpm.s="OFF","OFF",TEXT(MOD(TIMEVALUE(_xlfn.TEXTBEFORE(_xlpm.s,"-"))+0.5,1),"hh:mm")&amp;" - "&amp;TEXT(MOD(TIMEVALUE(_xlfn.TEXTAFTER(_xlpm.s,"-"))+0.5,1),"hh:mm"))),IF(EST!$P54=1,EST!D54,EST!E54))</f>
        <v>OFF</v>
      </c>
      <c r="F54" t="str">
        <f>IFERROR(_xlfn.LET(_xlpm.s,SUBSTITUTE(IF(EST!$P54=1,EST!E54,EST!F54)," ",""),IF(_xlpm.s="OFF","OFF",TEXT(MOD(TIMEVALUE(_xlfn.TEXTBEFORE(_xlpm.s,"-"))+0.5,1),"hh:mm")&amp;" - "&amp;TEXT(MOD(TIMEVALUE(_xlfn.TEXTAFTER(_xlpm.s,"-"))+0.5,1),"hh:mm"))),IF(EST!$P54=1,EST!E54,EST!F54))</f>
        <v>OFF</v>
      </c>
      <c r="G54" t="str">
        <f>IFERROR(_xlfn.LET(_xlpm.s,SUBSTITUTE(IF(EST!$P54=1,EST!F54,EST!G54)," ",""),IF(_xlpm.s="OFF","OFF",TEXT(MOD(TIMEVALUE(_xlfn.TEXTBEFORE(_xlpm.s,"-"))+0.5,1),"hh:mm")&amp;" - "&amp;TEXT(MOD(TIMEVALUE(_xlfn.TEXTAFTER(_xlpm.s,"-"))+0.5,1),"hh:mm"))),IF(EST!$P54=1,EST!F54,EST!G54))</f>
        <v>12:00 - 23:00</v>
      </c>
      <c r="H54" t="str">
        <f>IFERROR(_xlfn.LET(_xlpm.s,SUBSTITUTE(IF(EST!$P54=1,EST!G54,EST!H54)," ",""),IF(_xlpm.s="OFF","OFF",TEXT(MOD(TIMEVALUE(_xlfn.TEXTBEFORE(_xlpm.s,"-"))+0.5,1),"hh:mm")&amp;" - "&amp;TEXT(MOD(TIMEVALUE(_xlfn.TEXTAFTER(_xlpm.s,"-"))+0.5,1),"hh:mm"))),IF(EST!$P54=1,EST!G54,EST!H54))</f>
        <v>12:00 - 23:00</v>
      </c>
      <c r="I54" t="str">
        <f t="shared" si="1"/>
        <v>Wed - Thu - Fri</v>
      </c>
      <c r="J54" s="38">
        <f>MOD(EST!J54+TIME(12,0,0),1)</f>
        <v>0.58333333333333337</v>
      </c>
      <c r="K54" s="38">
        <f>MOD(EST!K54+TIME(12,0,0),1)</f>
        <v>0.66666666666666663</v>
      </c>
      <c r="L54" s="38">
        <f>MOD(EST!L54+TIME(12,0,0),1)</f>
        <v>0.79166666666666674</v>
      </c>
      <c r="M54" s="38">
        <f>MOD(EST!M54+TIME(12,0,0),1)</f>
        <v>0.91666666666666674</v>
      </c>
      <c r="N54" t="str">
        <f>EST!N54</f>
        <v>Chris Borromeo</v>
      </c>
    </row>
    <row r="55" spans="1:14" x14ac:dyDescent="0.3">
      <c r="A55" t="str">
        <f>EST!A55</f>
        <v>REY FERNANDEZ</v>
      </c>
      <c r="B55" t="str">
        <f>IFERROR(_xlfn.LET(_xlpm.s,SUBSTITUTE(IF(EST!$P55=1,EST!H55,EST!B55)," ",""),IF(_xlpm.s="OFF","OFF",TEXT(MOD(TIMEVALUE(_xlfn.TEXTBEFORE(_xlpm.s,"-"))+0.5,1),"hh:mm")&amp;" - "&amp;TEXT(MOD(TIMEVALUE(_xlfn.TEXTAFTER(_xlpm.s,"-"))+0.5,1),"hh:mm"))),IF(EST!$P55=1,EST!H55,EST!B55))</f>
        <v>OFF</v>
      </c>
      <c r="C55" t="str">
        <f>IFERROR(_xlfn.LET(_xlpm.s,SUBSTITUTE(IF(EST!$P55=1,EST!B55,EST!C55)," ",""),IF(_xlpm.s="OFF","OFF",TEXT(MOD(TIMEVALUE(_xlfn.TEXTBEFORE(_xlpm.s,"-"))+0.5,1),"hh:mm")&amp;" - "&amp;TEXT(MOD(TIMEVALUE(_xlfn.TEXTAFTER(_xlpm.s,"-"))+0.5,1),"hh:mm"))),IF(EST!$P55=1,EST!B55,EST!C55))</f>
        <v>OFF</v>
      </c>
      <c r="D55" t="str">
        <f>IFERROR(_xlfn.LET(_xlpm.s,SUBSTITUTE(IF(EST!$P55=1,EST!C55,EST!D55)," ",""),IF(_xlpm.s="OFF","OFF",TEXT(MOD(TIMEVALUE(_xlfn.TEXTBEFORE(_xlpm.s,"-"))+0.5,1),"hh:mm")&amp;" - "&amp;TEXT(MOD(TIMEVALUE(_xlfn.TEXTAFTER(_xlpm.s,"-"))+0.5,1),"hh:mm"))),IF(EST!$P55=1,EST!C55,EST!D55))</f>
        <v>11:00 - 22:00</v>
      </c>
      <c r="E55" t="str">
        <f>IFERROR(_xlfn.LET(_xlpm.s,SUBSTITUTE(IF(EST!$P55=1,EST!D55,EST!E55)," ",""),IF(_xlpm.s="OFF","OFF",TEXT(MOD(TIMEVALUE(_xlfn.TEXTBEFORE(_xlpm.s,"-"))+0.5,1),"hh:mm")&amp;" - "&amp;TEXT(MOD(TIMEVALUE(_xlfn.TEXTAFTER(_xlpm.s,"-"))+0.5,1),"hh:mm"))),IF(EST!$P55=1,EST!D55,EST!E55))</f>
        <v>11:00 - 22:00</v>
      </c>
      <c r="F55" t="str">
        <f>IFERROR(_xlfn.LET(_xlpm.s,SUBSTITUTE(IF(EST!$P55=1,EST!E55,EST!F55)," ",""),IF(_xlpm.s="OFF","OFF",TEXT(MOD(TIMEVALUE(_xlfn.TEXTBEFORE(_xlpm.s,"-"))+0.5,1),"hh:mm")&amp;" - "&amp;TEXT(MOD(TIMEVALUE(_xlfn.TEXTAFTER(_xlpm.s,"-"))+0.5,1),"hh:mm"))),IF(EST!$P55=1,EST!E55,EST!F55))</f>
        <v>OFF</v>
      </c>
      <c r="G55" t="str">
        <f>IFERROR(_xlfn.LET(_xlpm.s,SUBSTITUTE(IF(EST!$P55=1,EST!F55,EST!G55)," ",""),IF(_xlpm.s="OFF","OFF",TEXT(MOD(TIMEVALUE(_xlfn.TEXTBEFORE(_xlpm.s,"-"))+0.5,1),"hh:mm")&amp;" - "&amp;TEXT(MOD(TIMEVALUE(_xlfn.TEXTAFTER(_xlpm.s,"-"))+0.5,1),"hh:mm"))),IF(EST!$P55=1,EST!F55,EST!G55))</f>
        <v>11:00 - 22:00</v>
      </c>
      <c r="H55" t="str">
        <f>IFERROR(_xlfn.LET(_xlpm.s,SUBSTITUTE(IF(EST!$P55=1,EST!G55,EST!H55)," ",""),IF(_xlpm.s="OFF","OFF",TEXT(MOD(TIMEVALUE(_xlfn.TEXTBEFORE(_xlpm.s,"-"))+0.5,1),"hh:mm")&amp;" - "&amp;TEXT(MOD(TIMEVALUE(_xlfn.TEXTAFTER(_xlpm.s,"-"))+0.5,1),"hh:mm"))),IF(EST!$P55=1,EST!G55,EST!H55))</f>
        <v>11:00 - 22:00</v>
      </c>
      <c r="I55" t="str">
        <f t="shared" si="1"/>
        <v>Mon - Tue - Fri</v>
      </c>
      <c r="J55" s="38">
        <f>MOD(EST!J55+TIME(12,0,0),1)</f>
        <v>0.55208333333333337</v>
      </c>
      <c r="K55" s="38">
        <f>MOD(EST!K55+TIME(12,0,0),1)</f>
        <v>0.77083333333333326</v>
      </c>
      <c r="L55" s="38">
        <f>MOD(EST!L55+TIME(12,0,0),1)</f>
        <v>0.64583333333333337</v>
      </c>
      <c r="M55" s="38">
        <f>MOD(EST!M55+TIME(12,0,0),1)</f>
        <v>0.86458333333333326</v>
      </c>
      <c r="N55" t="str">
        <f>EST!N55</f>
        <v>Anmecha Valencia</v>
      </c>
    </row>
    <row r="56" spans="1:14" x14ac:dyDescent="0.3">
      <c r="A56" t="str">
        <f>EST!A56</f>
        <v>RONA ROTCHEL MONIVA</v>
      </c>
      <c r="B56" t="str">
        <f>IFERROR(_xlfn.LET(_xlpm.s,SUBSTITUTE(IF(EST!$P56=1,EST!H56,EST!B56)," ",""),IF(_xlpm.s="OFF","OFF",TEXT(MOD(TIMEVALUE(_xlfn.TEXTBEFORE(_xlpm.s,"-"))+0.5,1),"hh:mm")&amp;" - "&amp;TEXT(MOD(TIMEVALUE(_xlfn.TEXTAFTER(_xlpm.s,"-"))+0.5,1),"hh:mm"))),IF(EST!$P56=1,EST!H56,EST!B56))</f>
        <v>OFF</v>
      </c>
      <c r="C56" t="str">
        <f>IFERROR(_xlfn.LET(_xlpm.s,SUBSTITUTE(IF(EST!$P56=1,EST!B56,EST!C56)," ",""),IF(_xlpm.s="OFF","OFF",TEXT(MOD(TIMEVALUE(_xlfn.TEXTBEFORE(_xlpm.s,"-"))+0.5,1),"hh:mm")&amp;" - "&amp;TEXT(MOD(TIMEVALUE(_xlfn.TEXTAFTER(_xlpm.s,"-"))+0.5,1),"hh:mm"))),IF(EST!$P56=1,EST!B56,EST!C56))</f>
        <v>OFF</v>
      </c>
      <c r="D56" t="str">
        <f>IFERROR(_xlfn.LET(_xlpm.s,SUBSTITUTE(IF(EST!$P56=1,EST!C56,EST!D56)," ",""),IF(_xlpm.s="OFF","OFF",TEXT(MOD(TIMEVALUE(_xlfn.TEXTBEFORE(_xlpm.s,"-"))+0.5,1),"hh:mm")&amp;" - "&amp;TEXT(MOD(TIMEVALUE(_xlfn.TEXTAFTER(_xlpm.s,"-"))+0.5,1),"hh:mm"))),IF(EST!$P56=1,EST!C56,EST!D56))</f>
        <v>21:00 - 08:00</v>
      </c>
      <c r="E56" t="str">
        <f>IFERROR(_xlfn.LET(_xlpm.s,SUBSTITUTE(IF(EST!$P56=1,EST!D56,EST!E56)," ",""),IF(_xlpm.s="OFF","OFF",TEXT(MOD(TIMEVALUE(_xlfn.TEXTBEFORE(_xlpm.s,"-"))+0.5,1),"hh:mm")&amp;" - "&amp;TEXT(MOD(TIMEVALUE(_xlfn.TEXTAFTER(_xlpm.s,"-"))+0.5,1),"hh:mm"))),IF(EST!$P56=1,EST!D56,EST!E56))</f>
        <v>21:00 - 08:00</v>
      </c>
      <c r="F56" t="str">
        <f>IFERROR(_xlfn.LET(_xlpm.s,SUBSTITUTE(IF(EST!$P56=1,EST!E56,EST!F56)," ",""),IF(_xlpm.s="OFF","OFF",TEXT(MOD(TIMEVALUE(_xlfn.TEXTBEFORE(_xlpm.s,"-"))+0.5,1),"hh:mm")&amp;" - "&amp;TEXT(MOD(TIMEVALUE(_xlfn.TEXTAFTER(_xlpm.s,"-"))+0.5,1),"hh:mm"))),IF(EST!$P56=1,EST!E56,EST!F56))</f>
        <v>21:00 - 08:00</v>
      </c>
      <c r="G56" t="str">
        <f>IFERROR(_xlfn.LET(_xlpm.s,SUBSTITUTE(IF(EST!$P56=1,EST!F56,EST!G56)," ",""),IF(_xlpm.s="OFF","OFF",TEXT(MOD(TIMEVALUE(_xlfn.TEXTBEFORE(_xlpm.s,"-"))+0.5,1),"hh:mm")&amp;" - "&amp;TEXT(MOD(TIMEVALUE(_xlfn.TEXTAFTER(_xlpm.s,"-"))+0.5,1),"hh:mm"))),IF(EST!$P56=1,EST!F56,EST!G56))</f>
        <v>21:00 - 08:00</v>
      </c>
      <c r="H56" t="str">
        <f>IFERROR(_xlfn.LET(_xlpm.s,SUBSTITUTE(IF(EST!$P56=1,EST!G56,EST!H56)," ",""),IF(_xlpm.s="OFF","OFF",TEXT(MOD(TIMEVALUE(_xlfn.TEXTBEFORE(_xlpm.s,"-"))+0.5,1),"hh:mm")&amp;" - "&amp;TEXT(MOD(TIMEVALUE(_xlfn.TEXTAFTER(_xlpm.s,"-"))+0.5,1),"hh:mm"))),IF(EST!$P56=1,EST!G56,EST!H56))</f>
        <v>OFF</v>
      </c>
      <c r="I56" t="str">
        <f t="shared" si="1"/>
        <v>Mon - Tue - Sun</v>
      </c>
      <c r="J56" s="38">
        <f>MOD(EST!J56+TIME(12,0,0),1)</f>
        <v>0.96875</v>
      </c>
      <c r="K56" s="38">
        <f>MOD(EST!K56+TIME(12,0,0),1)</f>
        <v>0.22916666666666652</v>
      </c>
      <c r="L56" s="38">
        <f>MOD(EST!L56+TIME(12,0,0),1)</f>
        <v>6.25E-2</v>
      </c>
      <c r="M56" s="38">
        <f>MOD(EST!M56+TIME(12,0,0),1)</f>
        <v>0.29166666666666652</v>
      </c>
      <c r="N56" t="str">
        <f>EST!N56</f>
        <v>Manilyn Abellar</v>
      </c>
    </row>
    <row r="57" spans="1:14" x14ac:dyDescent="0.3">
      <c r="A57" t="str">
        <f>EST!A57</f>
        <v>ROY SAGALES</v>
      </c>
      <c r="B57" t="str">
        <f>IFERROR(_xlfn.LET(_xlpm.s,SUBSTITUTE(IF(EST!$P57=1,EST!H57,EST!B57)," ",""),IF(_xlpm.s="OFF","OFF",TEXT(MOD(TIMEVALUE(_xlfn.TEXTBEFORE(_xlpm.s,"-"))+0.5,1),"hh:mm")&amp;" - "&amp;TEXT(MOD(TIMEVALUE(_xlfn.TEXTAFTER(_xlpm.s,"-"))+0.5,1),"hh:mm"))),IF(EST!$P57=1,EST!H57,EST!B57))</f>
        <v>19:00 - 06:00</v>
      </c>
      <c r="C57" t="str">
        <f>IFERROR(_xlfn.LET(_xlpm.s,SUBSTITUTE(IF(EST!$P57=1,EST!B57,EST!C57)," ",""),IF(_xlpm.s="OFF","OFF",TEXT(MOD(TIMEVALUE(_xlfn.TEXTBEFORE(_xlpm.s,"-"))+0.5,1),"hh:mm")&amp;" - "&amp;TEXT(MOD(TIMEVALUE(_xlfn.TEXTAFTER(_xlpm.s,"-"))+0.5,1),"hh:mm"))),IF(EST!$P57=1,EST!B57,EST!C57))</f>
        <v>19:00 - 06:00</v>
      </c>
      <c r="D57" t="str">
        <f>IFERROR(_xlfn.LET(_xlpm.s,SUBSTITUTE(IF(EST!$P57=1,EST!C57,EST!D57)," ",""),IF(_xlpm.s="OFF","OFF",TEXT(MOD(TIMEVALUE(_xlfn.TEXTBEFORE(_xlpm.s,"-"))+0.5,1),"hh:mm")&amp;" - "&amp;TEXT(MOD(TIMEVALUE(_xlfn.TEXTAFTER(_xlpm.s,"-"))+0.5,1),"hh:mm"))),IF(EST!$P57=1,EST!C57,EST!D57))</f>
        <v>OFF</v>
      </c>
      <c r="E57" t="str">
        <f>IFERROR(_xlfn.LET(_xlpm.s,SUBSTITUTE(IF(EST!$P57=1,EST!D57,EST!E57)," ",""),IF(_xlpm.s="OFF","OFF",TEXT(MOD(TIMEVALUE(_xlfn.TEXTBEFORE(_xlpm.s,"-"))+0.5,1),"hh:mm")&amp;" - "&amp;TEXT(MOD(TIMEVALUE(_xlfn.TEXTAFTER(_xlpm.s,"-"))+0.5,1),"hh:mm"))),IF(EST!$P57=1,EST!D57,EST!E57))</f>
        <v>OFF</v>
      </c>
      <c r="F57" t="str">
        <f>IFERROR(_xlfn.LET(_xlpm.s,SUBSTITUTE(IF(EST!$P57=1,EST!E57,EST!F57)," ",""),IF(_xlpm.s="OFF","OFF",TEXT(MOD(TIMEVALUE(_xlfn.TEXTBEFORE(_xlpm.s,"-"))+0.5,1),"hh:mm")&amp;" - "&amp;TEXT(MOD(TIMEVALUE(_xlfn.TEXTAFTER(_xlpm.s,"-"))+0.5,1),"hh:mm"))),IF(EST!$P57=1,EST!E57,EST!F57))</f>
        <v>OFF</v>
      </c>
      <c r="G57" t="str">
        <f>IFERROR(_xlfn.LET(_xlpm.s,SUBSTITUTE(IF(EST!$P57=1,EST!F57,EST!G57)," ",""),IF(_xlpm.s="OFF","OFF",TEXT(MOD(TIMEVALUE(_xlfn.TEXTBEFORE(_xlpm.s,"-"))+0.5,1),"hh:mm")&amp;" - "&amp;TEXT(MOD(TIMEVALUE(_xlfn.TEXTAFTER(_xlpm.s,"-"))+0.5,1),"hh:mm"))),IF(EST!$P57=1,EST!F57,EST!G57))</f>
        <v>19:00 - 06:00</v>
      </c>
      <c r="H57" t="str">
        <f>IFERROR(_xlfn.LET(_xlpm.s,SUBSTITUTE(IF(EST!$P57=1,EST!G57,EST!H57)," ",""),IF(_xlpm.s="OFF","OFF",TEXT(MOD(TIMEVALUE(_xlfn.TEXTBEFORE(_xlpm.s,"-"))+0.5,1),"hh:mm")&amp;" - "&amp;TEXT(MOD(TIMEVALUE(_xlfn.TEXTAFTER(_xlpm.s,"-"))+0.5,1),"hh:mm"))),IF(EST!$P57=1,EST!G57,EST!H57))</f>
        <v>19:00 - 06:00</v>
      </c>
      <c r="I57" t="str">
        <f t="shared" si="1"/>
        <v>Wed - Thu - Fri</v>
      </c>
      <c r="J57" s="38">
        <f>MOD(EST!J57+TIME(12,0,0),1)</f>
        <v>0.86458333333333326</v>
      </c>
      <c r="K57" s="38">
        <f>MOD(EST!K57+TIME(12,0,0),1)</f>
        <v>7.2916666666666519E-2</v>
      </c>
      <c r="L57" s="38">
        <f>MOD(EST!L57+TIME(12,0,0),1)</f>
        <v>0.94791666666666674</v>
      </c>
      <c r="M57" s="38">
        <f>MOD(EST!M57+TIME(12,0,0),1)</f>
        <v>0.17708333333333348</v>
      </c>
      <c r="N57" t="str">
        <f>EST!N57</f>
        <v>Michael Dominguez</v>
      </c>
    </row>
    <row r="58" spans="1:14" x14ac:dyDescent="0.3">
      <c r="A58" t="str">
        <f>EST!A58</f>
        <v>SAM SUPNET</v>
      </c>
      <c r="B58" t="str">
        <f>IFERROR(_xlfn.LET(_xlpm.s,SUBSTITUTE(IF(EST!$P58=1,EST!H58,EST!B58)," ",""),IF(_xlpm.s="OFF","OFF",TEXT(MOD(TIMEVALUE(_xlfn.TEXTBEFORE(_xlpm.s,"-"))+0.5,1),"hh:mm")&amp;" - "&amp;TEXT(MOD(TIMEVALUE(_xlfn.TEXTAFTER(_xlpm.s,"-"))+0.5,1),"hh:mm"))),IF(EST!$P58=1,EST!H58,EST!B58))</f>
        <v>22:30 - 09:30</v>
      </c>
      <c r="C58" t="str">
        <f>IFERROR(_xlfn.LET(_xlpm.s,SUBSTITUTE(IF(EST!$P58=1,EST!B58,EST!C58)," ",""),IF(_xlpm.s="OFF","OFF",TEXT(MOD(TIMEVALUE(_xlfn.TEXTBEFORE(_xlpm.s,"-"))+0.5,1),"hh:mm")&amp;" - "&amp;TEXT(MOD(TIMEVALUE(_xlfn.TEXTAFTER(_xlpm.s,"-"))+0.5,1),"hh:mm"))),IF(EST!$P58=1,EST!B58,EST!C58))</f>
        <v>22:30 - 09:30</v>
      </c>
      <c r="D58" t="str">
        <f>IFERROR(_xlfn.LET(_xlpm.s,SUBSTITUTE(IF(EST!$P58=1,EST!C58,EST!D58)," ",""),IF(_xlpm.s="OFF","OFF",TEXT(MOD(TIMEVALUE(_xlfn.TEXTBEFORE(_xlpm.s,"-"))+0.5,1),"hh:mm")&amp;" - "&amp;TEXT(MOD(TIMEVALUE(_xlfn.TEXTAFTER(_xlpm.s,"-"))+0.5,1),"hh:mm"))),IF(EST!$P58=1,EST!C58,EST!D58))</f>
        <v>OFF</v>
      </c>
      <c r="E58" t="str">
        <f>IFERROR(_xlfn.LET(_xlpm.s,SUBSTITUTE(IF(EST!$P58=1,EST!D58,EST!E58)," ",""),IF(_xlpm.s="OFF","OFF",TEXT(MOD(TIMEVALUE(_xlfn.TEXTBEFORE(_xlpm.s,"-"))+0.5,1),"hh:mm")&amp;" - "&amp;TEXT(MOD(TIMEVALUE(_xlfn.TEXTAFTER(_xlpm.s,"-"))+0.5,1),"hh:mm"))),IF(EST!$P58=1,EST!D58,EST!E58))</f>
        <v>OFF</v>
      </c>
      <c r="F58" t="str">
        <f>IFERROR(_xlfn.LET(_xlpm.s,SUBSTITUTE(IF(EST!$P58=1,EST!E58,EST!F58)," ",""),IF(_xlpm.s="OFF","OFF",TEXT(MOD(TIMEVALUE(_xlfn.TEXTBEFORE(_xlpm.s,"-"))+0.5,1),"hh:mm")&amp;" - "&amp;TEXT(MOD(TIMEVALUE(_xlfn.TEXTAFTER(_xlpm.s,"-"))+0.5,1),"hh:mm"))),IF(EST!$P58=1,EST!E58,EST!F58))</f>
        <v>OFF</v>
      </c>
      <c r="G58" t="str">
        <f>IFERROR(_xlfn.LET(_xlpm.s,SUBSTITUTE(IF(EST!$P58=1,EST!F58,EST!G58)," ",""),IF(_xlpm.s="OFF","OFF",TEXT(MOD(TIMEVALUE(_xlfn.TEXTBEFORE(_xlpm.s,"-"))+0.5,1),"hh:mm")&amp;" - "&amp;TEXT(MOD(TIMEVALUE(_xlfn.TEXTAFTER(_xlpm.s,"-"))+0.5,1),"hh:mm"))),IF(EST!$P58=1,EST!F58,EST!G58))</f>
        <v>22:30 - 09:30</v>
      </c>
      <c r="H58" t="str">
        <f>IFERROR(_xlfn.LET(_xlpm.s,SUBSTITUTE(IF(EST!$P58=1,EST!G58,EST!H58)," ",""),IF(_xlpm.s="OFF","OFF",TEXT(MOD(TIMEVALUE(_xlfn.TEXTBEFORE(_xlpm.s,"-"))+0.5,1),"hh:mm")&amp;" - "&amp;TEXT(MOD(TIMEVALUE(_xlfn.TEXTAFTER(_xlpm.s,"-"))+0.5,1),"hh:mm"))),IF(EST!$P58=1,EST!G58,EST!H58))</f>
        <v>22:30 - 09:30</v>
      </c>
      <c r="I58" t="str">
        <f t="shared" si="1"/>
        <v>Wed - Thu - Fri</v>
      </c>
      <c r="J58" s="38">
        <f>MOD(EST!J58+TIME(12,0,0),1)</f>
        <v>3.125E-2</v>
      </c>
      <c r="K58" s="38">
        <f>MOD(EST!K58+TIME(12,0,0),1)</f>
        <v>0.26041666666666652</v>
      </c>
      <c r="L58" s="38">
        <f>MOD(EST!L58+TIME(12,0,0),1)</f>
        <v>0.14583333333333348</v>
      </c>
      <c r="M58" s="38">
        <f>MOD(EST!M58+TIME(12,0,0),1)</f>
        <v>0.375</v>
      </c>
      <c r="N58" t="str">
        <f>EST!N58</f>
        <v>Michael Dominguez</v>
      </c>
    </row>
    <row r="59" spans="1:14" x14ac:dyDescent="0.3">
      <c r="A59" t="str">
        <f>EST!A59</f>
        <v>SAMANTHA YVONNE DELA COSTA</v>
      </c>
      <c r="B59" t="str">
        <f>IFERROR(_xlfn.LET(_xlpm.s,SUBSTITUTE(IF(EST!$P59=1,EST!H59,EST!B59)," ",""),IF(_xlpm.s="OFF","OFF",TEXT(MOD(TIMEVALUE(_xlfn.TEXTBEFORE(_xlpm.s,"-"))+0.5,1),"hh:mm")&amp;" - "&amp;TEXT(MOD(TIMEVALUE(_xlfn.TEXTAFTER(_xlpm.s,"-"))+0.5,1),"hh:mm"))),IF(EST!$P59=1,EST!H59,EST!B59))</f>
        <v>21:00 - 08:00</v>
      </c>
      <c r="C59" t="str">
        <f>IFERROR(_xlfn.LET(_xlpm.s,SUBSTITUTE(IF(EST!$P59=1,EST!B59,EST!C59)," ",""),IF(_xlpm.s="OFF","OFF",TEXT(MOD(TIMEVALUE(_xlfn.TEXTBEFORE(_xlpm.s,"-"))+0.5,1),"hh:mm")&amp;" - "&amp;TEXT(MOD(TIMEVALUE(_xlfn.TEXTAFTER(_xlpm.s,"-"))+0.5,1),"hh:mm"))),IF(EST!$P59=1,EST!B59,EST!C59))</f>
        <v>21:00 - 08:00</v>
      </c>
      <c r="D59" t="str">
        <f>IFERROR(_xlfn.LET(_xlpm.s,SUBSTITUTE(IF(EST!$P59=1,EST!C59,EST!D59)," ",""),IF(_xlpm.s="OFF","OFF",TEXT(MOD(TIMEVALUE(_xlfn.TEXTBEFORE(_xlpm.s,"-"))+0.5,1),"hh:mm")&amp;" - "&amp;TEXT(MOD(TIMEVALUE(_xlfn.TEXTAFTER(_xlpm.s,"-"))+0.5,1),"hh:mm"))),IF(EST!$P59=1,EST!C59,EST!D59))</f>
        <v>21:00 - 08:00</v>
      </c>
      <c r="E59" t="str">
        <f>IFERROR(_xlfn.LET(_xlpm.s,SUBSTITUTE(IF(EST!$P59=1,EST!D59,EST!E59)," ",""),IF(_xlpm.s="OFF","OFF",TEXT(MOD(TIMEVALUE(_xlfn.TEXTBEFORE(_xlpm.s,"-"))+0.5,1),"hh:mm")&amp;" - "&amp;TEXT(MOD(TIMEVALUE(_xlfn.TEXTAFTER(_xlpm.s,"-"))+0.5,1),"hh:mm"))),IF(EST!$P59=1,EST!D59,EST!E59))</f>
        <v>OFF</v>
      </c>
      <c r="F59" t="str">
        <f>IFERROR(_xlfn.LET(_xlpm.s,SUBSTITUTE(IF(EST!$P59=1,EST!E59,EST!F59)," ",""),IF(_xlpm.s="OFF","OFF",TEXT(MOD(TIMEVALUE(_xlfn.TEXTBEFORE(_xlpm.s,"-"))+0.5,1),"hh:mm")&amp;" - "&amp;TEXT(MOD(TIMEVALUE(_xlfn.TEXTAFTER(_xlpm.s,"-"))+0.5,1),"hh:mm"))),IF(EST!$P59=1,EST!E59,EST!F59))</f>
        <v>21:00 - 08:00</v>
      </c>
      <c r="G59" t="str">
        <f>IFERROR(_xlfn.LET(_xlpm.s,SUBSTITUTE(IF(EST!$P59=1,EST!F59,EST!G59)," ",""),IF(_xlpm.s="OFF","OFF",TEXT(MOD(TIMEVALUE(_xlfn.TEXTBEFORE(_xlpm.s,"-"))+0.5,1),"hh:mm")&amp;" - "&amp;TEXT(MOD(TIMEVALUE(_xlfn.TEXTAFTER(_xlpm.s,"-"))+0.5,1),"hh:mm"))),IF(EST!$P59=1,EST!F59,EST!G59))</f>
        <v>OFF</v>
      </c>
      <c r="H59" t="str">
        <f>IFERROR(_xlfn.LET(_xlpm.s,SUBSTITUTE(IF(EST!$P59=1,EST!G59,EST!H59)," ",""),IF(_xlpm.s="OFF","OFF",TEXT(MOD(TIMEVALUE(_xlfn.TEXTBEFORE(_xlpm.s,"-"))+0.5,1),"hh:mm")&amp;" - "&amp;TEXT(MOD(TIMEVALUE(_xlfn.TEXTAFTER(_xlpm.s,"-"))+0.5,1),"hh:mm"))),IF(EST!$P59=1,EST!G59,EST!H59))</f>
        <v>OFF</v>
      </c>
      <c r="I59" t="str">
        <f t="shared" si="1"/>
        <v>Thu - Sat - Sun</v>
      </c>
      <c r="J59" s="38">
        <f>MOD(EST!J59+TIME(12,0,0),1)</f>
        <v>0.98958333333333326</v>
      </c>
      <c r="K59" s="38">
        <f>MOD(EST!K59+TIME(12,0,0),1)</f>
        <v>0.22916666666666652</v>
      </c>
      <c r="L59" s="38">
        <f>MOD(EST!L59+TIME(12,0,0),1)</f>
        <v>0.10416666666666652</v>
      </c>
      <c r="M59" s="38">
        <f>MOD(EST!M59+TIME(12,0,0),1)</f>
        <v>0.3125</v>
      </c>
      <c r="N59" t="str">
        <f>EST!N59</f>
        <v>Anmecha Valencia</v>
      </c>
    </row>
    <row r="60" spans="1:14" x14ac:dyDescent="0.3">
      <c r="A60" t="str">
        <f>EST!A60</f>
        <v>SHIELA MAE LAROA</v>
      </c>
      <c r="B60" t="str">
        <f>IFERROR(_xlfn.LET(_xlpm.s,SUBSTITUTE(IF(EST!$P60=1,EST!H60,EST!B60)," ",""),IF(_xlpm.s="OFF","OFF",TEXT(MOD(TIMEVALUE(_xlfn.TEXTBEFORE(_xlpm.s,"-"))+0.5,1),"hh:mm")&amp;" - "&amp;TEXT(MOD(TIMEVALUE(_xlfn.TEXTAFTER(_xlpm.s,"-"))+0.5,1),"hh:mm"))),IF(EST!$P60=1,EST!H60,EST!B60))</f>
        <v>19:00 - 06:00</v>
      </c>
      <c r="C60" t="str">
        <f>IFERROR(_xlfn.LET(_xlpm.s,SUBSTITUTE(IF(EST!$P60=1,EST!B60,EST!C60)," ",""),IF(_xlpm.s="OFF","OFF",TEXT(MOD(TIMEVALUE(_xlfn.TEXTBEFORE(_xlpm.s,"-"))+0.5,1),"hh:mm")&amp;" - "&amp;TEXT(MOD(TIMEVALUE(_xlfn.TEXTAFTER(_xlpm.s,"-"))+0.5,1),"hh:mm"))),IF(EST!$P60=1,EST!B60,EST!C60))</f>
        <v>19:00 - 06:00</v>
      </c>
      <c r="D60" t="str">
        <f>IFERROR(_xlfn.LET(_xlpm.s,SUBSTITUTE(IF(EST!$P60=1,EST!C60,EST!D60)," ",""),IF(_xlpm.s="OFF","OFF",TEXT(MOD(TIMEVALUE(_xlfn.TEXTBEFORE(_xlpm.s,"-"))+0.5,1),"hh:mm")&amp;" - "&amp;TEXT(MOD(TIMEVALUE(_xlfn.TEXTAFTER(_xlpm.s,"-"))+0.5,1),"hh:mm"))),IF(EST!$P60=1,EST!C60,EST!D60))</f>
        <v>19:00 - 06:00</v>
      </c>
      <c r="E60" t="str">
        <f>IFERROR(_xlfn.LET(_xlpm.s,SUBSTITUTE(IF(EST!$P60=1,EST!D60,EST!E60)," ",""),IF(_xlpm.s="OFF","OFF",TEXT(MOD(TIMEVALUE(_xlfn.TEXTBEFORE(_xlpm.s,"-"))+0.5,1),"hh:mm")&amp;" - "&amp;TEXT(MOD(TIMEVALUE(_xlfn.TEXTAFTER(_xlpm.s,"-"))+0.5,1),"hh:mm"))),IF(EST!$P60=1,EST!D60,EST!E60))</f>
        <v>19:00 - 06:00</v>
      </c>
      <c r="F60" t="str">
        <f>IFERROR(_xlfn.LET(_xlpm.s,SUBSTITUTE(IF(EST!$P60=1,EST!E60,EST!F60)," ",""),IF(_xlpm.s="OFF","OFF",TEXT(MOD(TIMEVALUE(_xlfn.TEXTBEFORE(_xlpm.s,"-"))+0.5,1),"hh:mm")&amp;" - "&amp;TEXT(MOD(TIMEVALUE(_xlfn.TEXTAFTER(_xlpm.s,"-"))+0.5,1),"hh:mm"))),IF(EST!$P60=1,EST!E60,EST!F60))</f>
        <v>OFF</v>
      </c>
      <c r="G60" t="str">
        <f>IFERROR(_xlfn.LET(_xlpm.s,SUBSTITUTE(IF(EST!$P60=1,EST!F60,EST!G60)," ",""),IF(_xlpm.s="OFF","OFF",TEXT(MOD(TIMEVALUE(_xlfn.TEXTBEFORE(_xlpm.s,"-"))+0.5,1),"hh:mm")&amp;" - "&amp;TEXT(MOD(TIMEVALUE(_xlfn.TEXTAFTER(_xlpm.s,"-"))+0.5,1),"hh:mm"))),IF(EST!$P60=1,EST!F60,EST!G60))</f>
        <v>OFF</v>
      </c>
      <c r="H60" t="str">
        <f>IFERROR(_xlfn.LET(_xlpm.s,SUBSTITUTE(IF(EST!$P60=1,EST!G60,EST!H60)," ",""),IF(_xlpm.s="OFF","OFF",TEXT(MOD(TIMEVALUE(_xlfn.TEXTBEFORE(_xlpm.s,"-"))+0.5,1),"hh:mm")&amp;" - "&amp;TEXT(MOD(TIMEVALUE(_xlfn.TEXTAFTER(_xlpm.s,"-"))+0.5,1),"hh:mm"))),IF(EST!$P60=1,EST!G60,EST!H60))</f>
        <v>OFF</v>
      </c>
      <c r="I60" t="str">
        <f t="shared" ref="I60:I61" si="2">_xlfn.TEXTJOIN(" - ",TRUE,
IF(B60="OFF","Mon",""),
IF(C60="OFF","Tue",""),
IF(D60="OFF","Wed",""),
IF(E60="OFF","Thu",""),
IF(F60="OFF","Fri",""),
IF(G60="OFF","Sat",""),
IF(H60="OFF","Sun",""))</f>
        <v>Fri - Sat - Sun</v>
      </c>
      <c r="J60" s="38">
        <f>MOD(EST!J60+TIME(12,0,0),1)</f>
        <v>0.875</v>
      </c>
      <c r="K60" s="38">
        <f>MOD(EST!K60+TIME(12,0,0),1)</f>
        <v>0.97916666666666674</v>
      </c>
      <c r="L60" s="38">
        <f>MOD(EST!L60+TIME(12,0,0),1)</f>
        <v>8.3333333333333481E-2</v>
      </c>
      <c r="M60" s="38">
        <f>MOD(EST!M60+TIME(12,0,0),1)</f>
        <v>0.17708333333333348</v>
      </c>
      <c r="N60" t="str">
        <f>EST!N60</f>
        <v>Manilyn Abellar</v>
      </c>
    </row>
    <row r="61" spans="1:14" x14ac:dyDescent="0.3">
      <c r="A61" t="str">
        <f>EST!A61</f>
        <v>WILLIAM NAVA</v>
      </c>
      <c r="B61" t="str">
        <f>IFERROR(_xlfn.LET(_xlpm.s,SUBSTITUTE(IF(EST!$P61=1,EST!H61,EST!B61)," ",""),IF(_xlpm.s="OFF","OFF",TEXT(MOD(TIMEVALUE(_xlfn.TEXTBEFORE(_xlpm.s,"-"))+0.5,1),"hh:mm")&amp;" - "&amp;TEXT(MOD(TIMEVALUE(_xlfn.TEXTAFTER(_xlpm.s,"-"))+0.5,1),"hh:mm"))),IF(EST!$P61=1,EST!H61,EST!B61))</f>
        <v>20:00 - 07:00</v>
      </c>
      <c r="C61" t="str">
        <f>IFERROR(_xlfn.LET(_xlpm.s,SUBSTITUTE(IF(EST!$P61=1,EST!B61,EST!C61)," ",""),IF(_xlpm.s="OFF","OFF",TEXT(MOD(TIMEVALUE(_xlfn.TEXTBEFORE(_xlpm.s,"-"))+0.5,1),"hh:mm")&amp;" - "&amp;TEXT(MOD(TIMEVALUE(_xlfn.TEXTAFTER(_xlpm.s,"-"))+0.5,1),"hh:mm"))),IF(EST!$P61=1,EST!B61,EST!C61))</f>
        <v>OFF</v>
      </c>
      <c r="D61" t="str">
        <f>IFERROR(_xlfn.LET(_xlpm.s,SUBSTITUTE(IF(EST!$P61=1,EST!C61,EST!D61)," ",""),IF(_xlpm.s="OFF","OFF",TEXT(MOD(TIMEVALUE(_xlfn.TEXTBEFORE(_xlpm.s,"-"))+0.5,1),"hh:mm")&amp;" - "&amp;TEXT(MOD(TIMEVALUE(_xlfn.TEXTAFTER(_xlpm.s,"-"))+0.5,1),"hh:mm"))),IF(EST!$P61=1,EST!C61,EST!D61))</f>
        <v>20:00 - 07:00</v>
      </c>
      <c r="E61" t="str">
        <f>IFERROR(_xlfn.LET(_xlpm.s,SUBSTITUTE(IF(EST!$P61=1,EST!D61,EST!E61)," ",""),IF(_xlpm.s="OFF","OFF",TEXT(MOD(TIMEVALUE(_xlfn.TEXTBEFORE(_xlpm.s,"-"))+0.5,1),"hh:mm")&amp;" - "&amp;TEXT(MOD(TIMEVALUE(_xlfn.TEXTAFTER(_xlpm.s,"-"))+0.5,1),"hh:mm"))),IF(EST!$P61=1,EST!D61,EST!E61))</f>
        <v>20:00 - 07:00</v>
      </c>
      <c r="F61" t="str">
        <f>IFERROR(_xlfn.LET(_xlpm.s,SUBSTITUTE(IF(EST!$P61=1,EST!E61,EST!F61)," ",""),IF(_xlpm.s="OFF","OFF",TEXT(MOD(TIMEVALUE(_xlfn.TEXTBEFORE(_xlpm.s,"-"))+0.5,1),"hh:mm")&amp;" - "&amp;TEXT(MOD(TIMEVALUE(_xlfn.TEXTAFTER(_xlpm.s,"-"))+0.5,1),"hh:mm"))),IF(EST!$P61=1,EST!E61,EST!F61))</f>
        <v>20:00 - 07:00</v>
      </c>
      <c r="G61" t="str">
        <f>IFERROR(_xlfn.LET(_xlpm.s,SUBSTITUTE(IF(EST!$P61=1,EST!F61,EST!G61)," ",""),IF(_xlpm.s="OFF","OFF",TEXT(MOD(TIMEVALUE(_xlfn.TEXTBEFORE(_xlpm.s,"-"))+0.5,1),"hh:mm")&amp;" - "&amp;TEXT(MOD(TIMEVALUE(_xlfn.TEXTAFTER(_xlpm.s,"-"))+0.5,1),"hh:mm"))),IF(EST!$P61=1,EST!F61,EST!G61))</f>
        <v>OFF</v>
      </c>
      <c r="H61" t="str">
        <f>IFERROR(_xlfn.LET(_xlpm.s,SUBSTITUTE(IF(EST!$P61=1,EST!G61,EST!H61)," ",""),IF(_xlpm.s="OFF","OFF",TEXT(MOD(TIMEVALUE(_xlfn.TEXTBEFORE(_xlpm.s,"-"))+0.5,1),"hh:mm")&amp;" - "&amp;TEXT(MOD(TIMEVALUE(_xlfn.TEXTAFTER(_xlpm.s,"-"))+0.5,1),"hh:mm"))),IF(EST!$P61=1,EST!G61,EST!H61))</f>
        <v>OFF</v>
      </c>
      <c r="I61" t="str">
        <f t="shared" si="2"/>
        <v>Tue - Sat - Sun</v>
      </c>
      <c r="J61" s="38">
        <f>MOD(EST!J61+TIME(12,0,0),1)</f>
        <v>0.92708333333333326</v>
      </c>
      <c r="K61" s="38">
        <f>MOD(EST!K61+TIME(12,0,0),1)</f>
        <v>0.14583333333333348</v>
      </c>
      <c r="L61" s="38">
        <f>MOD(EST!L61+TIME(12,0,0),1)</f>
        <v>1.0416666666666519E-2</v>
      </c>
      <c r="M61" s="38">
        <f>MOD(EST!M61+TIME(12,0,0),1)</f>
        <v>0.26041666666666652</v>
      </c>
      <c r="N61" t="str">
        <f>EST!N61</f>
        <v>Anmecha Valencia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105F-36DE-413B-8CE0-3469CE31C697}">
  <dimension ref="A1:D29"/>
  <sheetViews>
    <sheetView workbookViewId="0">
      <selection activeCell="B18" sqref="B18"/>
    </sheetView>
  </sheetViews>
  <sheetFormatPr defaultRowHeight="14.4" x14ac:dyDescent="0.3"/>
  <cols>
    <col min="1" max="1" width="26.6640625" customWidth="1"/>
    <col min="2" max="2" width="17.6640625" style="29" customWidth="1"/>
    <col min="3" max="3" width="14.5546875" customWidth="1"/>
    <col min="4" max="4" width="14.33203125" customWidth="1"/>
  </cols>
  <sheetData>
    <row r="1" spans="1:4" ht="17.399999999999999" thickBot="1" x14ac:dyDescent="0.35">
      <c r="A1" s="24" t="s">
        <v>0</v>
      </c>
      <c r="B1" s="28" t="s">
        <v>122</v>
      </c>
      <c r="C1" s="24" t="s">
        <v>123</v>
      </c>
      <c r="D1" s="24" t="s">
        <v>13</v>
      </c>
    </row>
    <row r="2" spans="1:4" x14ac:dyDescent="0.3">
      <c r="A2" s="16" t="s">
        <v>87</v>
      </c>
      <c r="B2" s="29">
        <v>46315</v>
      </c>
      <c r="C2" t="s">
        <v>125</v>
      </c>
      <c r="D2" t="str">
        <f>VLOOKUP(A2,EST!A:N,14,FALSE)</f>
        <v>Christopher Rodas</v>
      </c>
    </row>
    <row r="3" spans="1:4" x14ac:dyDescent="0.3">
      <c r="A3" t="s">
        <v>69</v>
      </c>
      <c r="B3" s="29">
        <v>46315</v>
      </c>
      <c r="C3" t="s">
        <v>125</v>
      </c>
      <c r="D3" t="str">
        <f>VLOOKUP(A3,EST!A:N,14,FALSE)</f>
        <v>Michael Dominguez</v>
      </c>
    </row>
    <row r="4" spans="1:4" x14ac:dyDescent="0.3">
      <c r="A4" t="s">
        <v>63</v>
      </c>
      <c r="B4" s="29">
        <v>46315</v>
      </c>
      <c r="C4" t="s">
        <v>125</v>
      </c>
      <c r="D4" t="str">
        <f>VLOOKUP(A4,EST!A:N,14,FALSE)</f>
        <v>Remmo Panaligan</v>
      </c>
    </row>
    <row r="5" spans="1:4" x14ac:dyDescent="0.3">
      <c r="A5" t="s">
        <v>80</v>
      </c>
      <c r="B5" s="29">
        <v>46316</v>
      </c>
      <c r="C5" t="s">
        <v>125</v>
      </c>
      <c r="D5" t="str">
        <f>VLOOKUP(A5,EST!A:N,14,FALSE)</f>
        <v>Michael Dominguez</v>
      </c>
    </row>
    <row r="6" spans="1:4" x14ac:dyDescent="0.3">
      <c r="A6" t="s">
        <v>95</v>
      </c>
      <c r="B6" s="29">
        <v>46317</v>
      </c>
      <c r="C6" t="s">
        <v>125</v>
      </c>
      <c r="D6" t="str">
        <f>VLOOKUP(A6,EST!A:N,14,FALSE)</f>
        <v>Manilyn Abellar</v>
      </c>
    </row>
    <row r="7" spans="1:4" x14ac:dyDescent="0.3">
      <c r="A7" t="s">
        <v>72</v>
      </c>
      <c r="B7" s="29">
        <v>46317</v>
      </c>
      <c r="C7" t="s">
        <v>125</v>
      </c>
      <c r="D7" t="str">
        <f>VLOOKUP(A7,EST!A:N,14,FALSE)</f>
        <v>Anmecha Valencia</v>
      </c>
    </row>
    <row r="8" spans="1:4" x14ac:dyDescent="0.3">
      <c r="A8" t="s">
        <v>80</v>
      </c>
      <c r="B8" s="29">
        <v>46317</v>
      </c>
      <c r="C8" t="s">
        <v>125</v>
      </c>
      <c r="D8" t="str">
        <f>VLOOKUP(A8,EST!A:N,14,FALSE)</f>
        <v>Michael Dominguez</v>
      </c>
    </row>
    <row r="9" spans="1:4" x14ac:dyDescent="0.3">
      <c r="A9" t="s">
        <v>78</v>
      </c>
      <c r="B9" s="29">
        <v>46318</v>
      </c>
      <c r="C9" t="s">
        <v>125</v>
      </c>
      <c r="D9" t="str">
        <f>VLOOKUP(A9,EST!A:N,14,FALSE)</f>
        <v>Anmecha Valencia</v>
      </c>
    </row>
    <row r="10" spans="1:4" x14ac:dyDescent="0.3">
      <c r="A10" t="s">
        <v>73</v>
      </c>
      <c r="B10" s="29">
        <v>46318</v>
      </c>
      <c r="C10" t="s">
        <v>125</v>
      </c>
      <c r="D10" t="str">
        <f>VLOOKUP(A10,EST!A:N,14,FALSE)</f>
        <v>Michael Dominguez</v>
      </c>
    </row>
    <row r="11" spans="1:4" x14ac:dyDescent="0.3">
      <c r="A11" t="s">
        <v>116</v>
      </c>
      <c r="B11" s="29">
        <v>46318</v>
      </c>
      <c r="C11" t="s">
        <v>125</v>
      </c>
      <c r="D11" t="str">
        <f>VLOOKUP(A11,EST!A:N,14,FALSE)</f>
        <v>Anmecha Valencia</v>
      </c>
    </row>
    <row r="12" spans="1:4" x14ac:dyDescent="0.3">
      <c r="A12" t="s">
        <v>108</v>
      </c>
      <c r="B12" s="29">
        <v>46320</v>
      </c>
      <c r="C12" t="s">
        <v>125</v>
      </c>
      <c r="D12" t="str">
        <f>VLOOKUP(A12,EST!A:N,14,FALSE)</f>
        <v>Remmo Panaligan</v>
      </c>
    </row>
    <row r="13" spans="1:4" x14ac:dyDescent="0.3">
      <c r="A13" t="s">
        <v>118</v>
      </c>
      <c r="B13" s="29">
        <v>46321</v>
      </c>
      <c r="C13" t="s">
        <v>125</v>
      </c>
      <c r="D13" t="str">
        <f>VLOOKUP(A13,EST!A:N,14,FALSE)</f>
        <v>Michael Dominguez</v>
      </c>
    </row>
    <row r="14" spans="1:4" x14ac:dyDescent="0.3">
      <c r="A14" t="s">
        <v>93</v>
      </c>
      <c r="B14" s="29">
        <v>46321</v>
      </c>
      <c r="C14" t="s">
        <v>125</v>
      </c>
      <c r="D14" t="str">
        <f>VLOOKUP(A14,EST!A:N,14,FALSE)</f>
        <v>Remmo Panaligan</v>
      </c>
    </row>
    <row r="15" spans="1:4" x14ac:dyDescent="0.3">
      <c r="A15" t="s">
        <v>86</v>
      </c>
      <c r="B15" s="29">
        <v>46321</v>
      </c>
      <c r="C15" t="s">
        <v>125</v>
      </c>
      <c r="D15" t="str">
        <f>VLOOKUP(A15,EST!A:N,14,FALSE)</f>
        <v>Remmo Panaligan</v>
      </c>
    </row>
    <row r="16" spans="1:4" x14ac:dyDescent="0.3">
      <c r="A16" t="s">
        <v>78</v>
      </c>
      <c r="B16" s="29">
        <v>46321</v>
      </c>
      <c r="C16" t="s">
        <v>125</v>
      </c>
      <c r="D16" t="str">
        <f>VLOOKUP(A16,EST!A:N,14,FALSE)</f>
        <v>Anmecha Valencia</v>
      </c>
    </row>
    <row r="17" spans="1:4" x14ac:dyDescent="0.3">
      <c r="A17" t="s">
        <v>118</v>
      </c>
      <c r="B17" s="29">
        <v>46322</v>
      </c>
      <c r="C17" t="s">
        <v>125</v>
      </c>
      <c r="D17" t="str">
        <f>VLOOKUP(A17,EST!A:N,14,FALSE)</f>
        <v>Michael Dominguez</v>
      </c>
    </row>
    <row r="18" spans="1:4" x14ac:dyDescent="0.3">
      <c r="A18" t="s">
        <v>93</v>
      </c>
      <c r="B18" s="29">
        <v>46322</v>
      </c>
      <c r="C18" t="s">
        <v>125</v>
      </c>
      <c r="D18" t="str">
        <f>VLOOKUP(A18,EST!A:N,14,FALSE)</f>
        <v>Remmo Panaligan</v>
      </c>
    </row>
    <row r="19" spans="1:4" x14ac:dyDescent="0.3">
      <c r="A19" t="s">
        <v>86</v>
      </c>
      <c r="B19" s="29">
        <v>46322</v>
      </c>
      <c r="C19" t="s">
        <v>125</v>
      </c>
      <c r="D19" t="str">
        <f>VLOOKUP(A19,EST!A:N,14,FALSE)</f>
        <v>Remmo Panaligan</v>
      </c>
    </row>
    <row r="20" spans="1:4" x14ac:dyDescent="0.3">
      <c r="A20" t="s">
        <v>78</v>
      </c>
      <c r="B20" s="29">
        <v>46322</v>
      </c>
      <c r="C20" t="s">
        <v>125</v>
      </c>
      <c r="D20" t="str">
        <f>VLOOKUP(A20,EST!A:N,14,FALSE)</f>
        <v>Anmecha Valencia</v>
      </c>
    </row>
    <row r="21" spans="1:4" x14ac:dyDescent="0.3">
      <c r="A21" t="s">
        <v>83</v>
      </c>
      <c r="B21" s="29">
        <v>46322</v>
      </c>
      <c r="C21" t="s">
        <v>125</v>
      </c>
      <c r="D21" t="str">
        <f>VLOOKUP(A21,EST!A:N,14,FALSE)</f>
        <v>Christopher Rodas</v>
      </c>
    </row>
    <row r="22" spans="1:4" x14ac:dyDescent="0.3">
      <c r="A22" t="s">
        <v>83</v>
      </c>
      <c r="B22" s="29">
        <v>46323</v>
      </c>
      <c r="C22" t="s">
        <v>125</v>
      </c>
      <c r="D22" t="str">
        <f>VLOOKUP(A22,EST!A:N,14,FALSE)</f>
        <v>Christopher Rodas</v>
      </c>
    </row>
    <row r="23" spans="1:4" x14ac:dyDescent="0.3">
      <c r="A23" t="s">
        <v>66</v>
      </c>
      <c r="B23" s="29">
        <v>46323</v>
      </c>
      <c r="C23" t="s">
        <v>125</v>
      </c>
      <c r="D23" t="str">
        <f>VLOOKUP(A23,EST!A:N,14,FALSE)</f>
        <v>Manilyn Abellar</v>
      </c>
    </row>
    <row r="24" spans="1:4" x14ac:dyDescent="0.3">
      <c r="A24" t="s">
        <v>102</v>
      </c>
      <c r="B24" s="29">
        <v>46324</v>
      </c>
      <c r="C24" t="s">
        <v>125</v>
      </c>
      <c r="D24" t="str">
        <f>VLOOKUP(A24,EST!A:N,14,FALSE)</f>
        <v>Remmo Panaligan</v>
      </c>
    </row>
    <row r="25" spans="1:4" x14ac:dyDescent="0.3">
      <c r="A25" t="s">
        <v>126</v>
      </c>
      <c r="B25" s="29">
        <v>46324</v>
      </c>
      <c r="C25" t="s">
        <v>125</v>
      </c>
      <c r="D25" t="str">
        <f>VLOOKUP(A25,EST!A:N,14,FALSE)</f>
        <v>Christopher Rodas</v>
      </c>
    </row>
    <row r="26" spans="1:4" x14ac:dyDescent="0.3">
      <c r="A26" t="s">
        <v>78</v>
      </c>
      <c r="B26" s="29">
        <v>46324</v>
      </c>
      <c r="C26" t="s">
        <v>125</v>
      </c>
      <c r="D26" t="str">
        <f>VLOOKUP(A26,EST!A:N,14,FALSE)</f>
        <v>Anmecha Valencia</v>
      </c>
    </row>
    <row r="27" spans="1:4" x14ac:dyDescent="0.3">
      <c r="A27" t="s">
        <v>95</v>
      </c>
      <c r="B27" s="29">
        <v>46324</v>
      </c>
      <c r="C27" t="s">
        <v>125</v>
      </c>
      <c r="D27" t="str">
        <f>VLOOKUP(A27,EST!A:N,14,FALSE)</f>
        <v>Manilyn Abellar</v>
      </c>
    </row>
    <row r="28" spans="1:4" x14ac:dyDescent="0.3">
      <c r="A28" t="s">
        <v>88</v>
      </c>
      <c r="B28" s="29">
        <v>46325</v>
      </c>
      <c r="C28" t="s">
        <v>125</v>
      </c>
      <c r="D28" t="str">
        <f>VLOOKUP(A28,EST!A:N,14,FALSE)</f>
        <v>Manilyn Abellar</v>
      </c>
    </row>
    <row r="29" spans="1:4" x14ac:dyDescent="0.3">
      <c r="A29" t="s">
        <v>81</v>
      </c>
      <c r="B29" s="29">
        <v>46326</v>
      </c>
      <c r="C29" t="s">
        <v>125</v>
      </c>
      <c r="D29" t="str">
        <f>VLOOKUP(A29,EST!A:N,14,FALSE)</f>
        <v>Christopher Rodas</v>
      </c>
    </row>
  </sheetData>
  <conditionalFormatting sqref="A2">
    <cfRule type="cellIs" dxfId="2" priority="1" operator="equal">
      <formula>"OFF"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1F19-C6FE-4035-B842-090875DBA03B}">
  <dimension ref="A1:D5"/>
  <sheetViews>
    <sheetView tabSelected="1" workbookViewId="0">
      <selection activeCell="C10" sqref="C10"/>
    </sheetView>
  </sheetViews>
  <sheetFormatPr defaultRowHeight="14.4" x14ac:dyDescent="0.3"/>
  <cols>
    <col min="1" max="1" width="27.109375" style="27" customWidth="1"/>
    <col min="2" max="2" width="17.6640625" style="29" customWidth="1"/>
    <col min="3" max="3" width="22.33203125" style="27" customWidth="1"/>
    <col min="4" max="4" width="18.6640625" customWidth="1"/>
  </cols>
  <sheetData>
    <row r="1" spans="1:4" ht="17.399999999999999" thickBot="1" x14ac:dyDescent="0.35">
      <c r="A1" s="25" t="s">
        <v>0</v>
      </c>
      <c r="B1" s="28" t="s">
        <v>122</v>
      </c>
      <c r="C1" s="25" t="s">
        <v>123</v>
      </c>
      <c r="D1" s="25" t="s">
        <v>13</v>
      </c>
    </row>
    <row r="2" spans="1:4" x14ac:dyDescent="0.3">
      <c r="A2" s="26" t="s">
        <v>76</v>
      </c>
      <c r="B2" s="29">
        <v>46315</v>
      </c>
      <c r="C2" s="27" t="s">
        <v>124</v>
      </c>
      <c r="D2" t="str">
        <f>VLOOKUP(A2,EST!A:N,14,FALSE)</f>
        <v>Anmecha Valencia</v>
      </c>
    </row>
    <row r="3" spans="1:4" x14ac:dyDescent="0.3">
      <c r="A3" s="27" t="s">
        <v>84</v>
      </c>
      <c r="B3" s="29">
        <v>46316</v>
      </c>
      <c r="C3" s="27" t="s">
        <v>127</v>
      </c>
      <c r="D3" t="str">
        <f>VLOOKUP(A3,EST!A:N,14,FALSE)</f>
        <v>Michael Dominguez</v>
      </c>
    </row>
    <row r="4" spans="1:4" x14ac:dyDescent="0.3">
      <c r="A4" s="11" t="s">
        <v>76</v>
      </c>
      <c r="B4" s="29">
        <v>46316</v>
      </c>
      <c r="C4" s="27" t="s">
        <v>128</v>
      </c>
      <c r="D4" t="str">
        <f>VLOOKUP(A4,EST!A:N,14,FALSE)</f>
        <v>Anmecha Valencia</v>
      </c>
    </row>
    <row r="5" spans="1:4" x14ac:dyDescent="0.3">
      <c r="A5" s="27" t="s">
        <v>99</v>
      </c>
      <c r="B5" s="29">
        <v>46317</v>
      </c>
      <c r="C5" s="27" t="s">
        <v>129</v>
      </c>
      <c r="D5" t="str">
        <f>VLOOKUP(A5,EST!A:N,14,FALSE)</f>
        <v>Christopher Rodas</v>
      </c>
    </row>
  </sheetData>
  <conditionalFormatting sqref="A2">
    <cfRule type="cellIs" dxfId="1" priority="2" operator="equal">
      <formula>"OFF"</formula>
    </cfRule>
  </conditionalFormatting>
  <conditionalFormatting sqref="A4">
    <cfRule type="cellIs" dxfId="0" priority="1" operator="equal">
      <formula>"OFF"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</vt:lpstr>
      <vt:lpstr>PH</vt:lpstr>
      <vt:lpstr>PTO</vt:lpstr>
      <vt:lpstr>Called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Abellar, Manilyn -ND</dc:creator>
  <cp:lastModifiedBy>Abellar, Manilyn -ND</cp:lastModifiedBy>
  <dcterms:created xsi:type="dcterms:W3CDTF">2026-10-19T19:40:00Z</dcterms:created>
  <dcterms:modified xsi:type="dcterms:W3CDTF">2026-10-22T15:57:57Z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2026-10-19T19:40:35Z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c4e8fafb-6855-4443-98de-d076c1902bc5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