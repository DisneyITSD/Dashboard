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1071" documentId="11_94451ABCA0A2D337C40D543FD3FF15B293680652" xr6:coauthVersionLast="47" xr6:coauthVersionMax="47" xr10:uidLastSave="{447D9371-892D-46C9-9D9A-E42598504965}"/>
  <bookViews>
    <workbookView xWindow="-108" yWindow="-108" windowWidth="23256" windowHeight="13896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  <sheet name="Sheet1" sheetId="9" state="hidden" r:id="rId8"/>
  </sheets>
  <definedNames>
    <definedName name="_xlnm._FilterDatabase" localSheetId="0" hidden="1">EST!$A$1:$O$67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10" i="1" l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" i="1"/>
  <c r="I3" i="1"/>
  <c r="I4" i="1"/>
  <c r="I5" i="1"/>
  <c r="I6" i="1"/>
  <c r="I7" i="1"/>
  <c r="I8" i="1"/>
  <c r="I9" i="1"/>
  <c r="J67" i="4"/>
  <c r="K67" i="4"/>
  <c r="L67" i="4"/>
  <c r="M67" i="4"/>
  <c r="N67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2" i="4"/>
  <c r="P54" i="1"/>
  <c r="P56" i="1"/>
  <c r="P60" i="1"/>
  <c r="P61" i="1"/>
  <c r="P65" i="1"/>
  <c r="P22" i="1"/>
  <c r="J64" i="4"/>
  <c r="K64" i="4"/>
  <c r="L64" i="4"/>
  <c r="M64" i="4"/>
  <c r="N64" i="4"/>
  <c r="J65" i="4"/>
  <c r="K65" i="4"/>
  <c r="L65" i="4"/>
  <c r="M65" i="4"/>
  <c r="N65" i="4"/>
  <c r="J66" i="4"/>
  <c r="K66" i="4"/>
  <c r="L66" i="4"/>
  <c r="M66" i="4"/>
  <c r="N66" i="4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5" i="1"/>
  <c r="P57" i="1"/>
  <c r="P58" i="1"/>
  <c r="P59" i="1"/>
  <c r="P62" i="1"/>
  <c r="P63" i="1"/>
  <c r="O63" i="4" s="1"/>
  <c r="P63" i="4" s="1"/>
  <c r="P64" i="1"/>
  <c r="P66" i="1"/>
  <c r="P67" i="1"/>
  <c r="C2" i="7"/>
  <c r="D2" i="7"/>
  <c r="B2" i="7"/>
  <c r="B67" i="4" l="1"/>
  <c r="C67" i="4"/>
  <c r="D67" i="4"/>
  <c r="E67" i="4"/>
  <c r="F67" i="4"/>
  <c r="G67" i="4"/>
  <c r="H67" i="4"/>
  <c r="O67" i="4"/>
  <c r="P67" i="4" s="1"/>
  <c r="O64" i="4"/>
  <c r="P64" i="4" s="1"/>
  <c r="O66" i="4"/>
  <c r="P66" i="4" s="1"/>
  <c r="B66" i="4"/>
  <c r="C66" i="4"/>
  <c r="D66" i="4"/>
  <c r="E66" i="4"/>
  <c r="F66" i="4"/>
  <c r="G66" i="4"/>
  <c r="H66" i="4"/>
  <c r="O65" i="4"/>
  <c r="P65" i="4" s="1"/>
  <c r="B65" i="4"/>
  <c r="C65" i="4"/>
  <c r="D65" i="4"/>
  <c r="E65" i="4"/>
  <c r="F65" i="4"/>
  <c r="G65" i="4"/>
  <c r="H65" i="4"/>
  <c r="B64" i="4"/>
  <c r="C64" i="4"/>
  <c r="D64" i="4"/>
  <c r="E64" i="4"/>
  <c r="F64" i="4"/>
  <c r="G64" i="4"/>
  <c r="H64" i="4"/>
  <c r="P2" i="7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 s="1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I67" i="4" l="1"/>
  <c r="I64" i="4"/>
  <c r="I65" i="4"/>
  <c r="I66" i="4"/>
  <c r="I2" i="7"/>
  <c r="B7" i="4" l="1"/>
  <c r="E29" i="4"/>
  <c r="C29" i="4"/>
  <c r="G29" i="4"/>
  <c r="D29" i="4"/>
  <c r="H29" i="4"/>
  <c r="B29" i="4"/>
  <c r="F29" i="4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B50" i="4"/>
  <c r="F33" i="4"/>
  <c r="B33" i="4"/>
  <c r="D33" i="4"/>
  <c r="C33" i="4"/>
  <c r="G33" i="4"/>
  <c r="H33" i="4"/>
  <c r="E33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F12" i="4"/>
  <c r="E12" i="4"/>
  <c r="D12" i="4"/>
  <c r="B12" i="4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B51" i="4"/>
  <c r="H19" i="4"/>
  <c r="G19" i="4"/>
  <c r="B19" i="4"/>
  <c r="D19" i="4"/>
  <c r="C19" i="4"/>
  <c r="F19" i="4"/>
  <c r="E19" i="4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J59" i="4"/>
  <c r="J15" i="4"/>
  <c r="J36" i="4"/>
  <c r="L19" i="4"/>
  <c r="K35" i="4"/>
  <c r="N34" i="4"/>
  <c r="K19" i="4"/>
  <c r="K9" i="4"/>
  <c r="N51" i="4"/>
  <c r="M34" i="4"/>
  <c r="J19" i="4"/>
  <c r="J9" i="4"/>
  <c r="L34" i="4"/>
  <c r="L5" i="4"/>
  <c r="M44" i="4"/>
  <c r="J39" i="4"/>
  <c r="M38" i="4"/>
  <c r="L44" i="4"/>
  <c r="K21" i="4"/>
  <c r="M18" i="4"/>
  <c r="J50" i="4"/>
  <c r="J21" i="4"/>
  <c r="L18" i="4"/>
  <c r="K18" i="4"/>
  <c r="L17" i="4"/>
  <c r="L33" i="4"/>
  <c r="N13" i="4"/>
  <c r="J17" i="4"/>
  <c r="K57" i="4"/>
  <c r="L43" i="4"/>
  <c r="N41" i="4"/>
  <c r="J33" i="4"/>
  <c r="M13" i="4"/>
  <c r="J35" i="4"/>
  <c r="L38" i="4"/>
  <c r="J57" i="4"/>
  <c r="L41" i="4"/>
  <c r="K15" i="4"/>
  <c r="K5" i="4"/>
  <c r="M20" i="4"/>
  <c r="M61" i="4"/>
  <c r="N14" i="4"/>
  <c r="J5" i="4"/>
  <c r="L20" i="4"/>
  <c r="L61" i="4"/>
  <c r="M14" i="4"/>
  <c r="N22" i="4"/>
  <c r="N12" i="4"/>
  <c r="N16" i="4"/>
  <c r="K20" i="4"/>
  <c r="J61" i="4"/>
  <c r="N48" i="4"/>
  <c r="L14" i="4"/>
  <c r="M22" i="4"/>
  <c r="M16" i="4"/>
  <c r="J20" i="4"/>
  <c r="N40" i="4"/>
  <c r="N11" i="4"/>
  <c r="L22" i="4"/>
  <c r="L16" i="4"/>
  <c r="M40" i="4"/>
  <c r="N3" i="4"/>
  <c r="J63" i="4"/>
  <c r="K58" i="4"/>
  <c r="K22" i="4"/>
  <c r="K16" i="4"/>
  <c r="L3" i="4"/>
  <c r="J60" i="4"/>
  <c r="J58" i="4"/>
  <c r="J22" i="4"/>
  <c r="N21" i="4"/>
  <c r="K3" i="4"/>
  <c r="N47" i="4"/>
  <c r="M21" i="4"/>
  <c r="M59" i="4"/>
  <c r="J8" i="4"/>
  <c r="N39" i="4"/>
  <c r="M15" i="4"/>
  <c r="J3" i="4"/>
  <c r="N44" i="4"/>
  <c r="L21" i="4"/>
  <c r="N19" i="4"/>
  <c r="L59" i="4"/>
  <c r="N18" i="4"/>
  <c r="L39" i="4"/>
  <c r="L15" i="4"/>
  <c r="J16" i="4"/>
  <c r="J18" i="4"/>
  <c r="L40" i="4"/>
  <c r="M62" i="4"/>
  <c r="K41" i="4"/>
  <c r="L13" i="4"/>
  <c r="J37" i="4"/>
  <c r="L4" i="4"/>
  <c r="N42" i="4"/>
  <c r="J41" i="4"/>
  <c r="L12" i="4"/>
  <c r="K24" i="4"/>
  <c r="M28" i="4"/>
  <c r="M26" i="4"/>
  <c r="J4" i="4"/>
  <c r="M42" i="4"/>
  <c r="J27" i="4"/>
  <c r="J62" i="4"/>
  <c r="J23" i="4"/>
  <c r="N49" i="4"/>
  <c r="L42" i="4"/>
  <c r="N36" i="4"/>
  <c r="J12" i="4"/>
  <c r="J32" i="4"/>
  <c r="L30" i="4"/>
  <c r="N29" i="4"/>
  <c r="N8" i="4"/>
  <c r="K28" i="4"/>
  <c r="N54" i="4"/>
  <c r="K26" i="4"/>
  <c r="K10" i="4"/>
  <c r="J7" i="4"/>
  <c r="L2" i="4"/>
  <c r="M63" i="4"/>
  <c r="K56" i="4"/>
  <c r="L31" i="4"/>
  <c r="M36" i="4"/>
  <c r="K30" i="4"/>
  <c r="L29" i="4"/>
  <c r="M8" i="4"/>
  <c r="J28" i="4"/>
  <c r="L54" i="4"/>
  <c r="J26" i="4"/>
  <c r="J10" i="4"/>
  <c r="K2" i="4"/>
  <c r="L36" i="4"/>
  <c r="J2" i="4"/>
  <c r="N24" i="4"/>
  <c r="M27" i="4"/>
  <c r="J38" i="4"/>
  <c r="K37" i="4"/>
  <c r="K55" i="4"/>
  <c r="N45" i="4"/>
  <c r="M12" i="4"/>
  <c r="L24" i="4"/>
  <c r="N28" i="4"/>
  <c r="J40" i="4"/>
  <c r="L27" i="4"/>
  <c r="L62" i="4"/>
  <c r="J55" i="4"/>
  <c r="L45" i="4"/>
  <c r="N32" i="4"/>
  <c r="N30" i="4"/>
  <c r="K13" i="4"/>
  <c r="K27" i="4"/>
  <c r="N2" i="4"/>
  <c r="K62" i="4"/>
  <c r="K23" i="4"/>
  <c r="K12" i="4"/>
  <c r="L32" i="4"/>
  <c r="M30" i="4"/>
  <c r="J13" i="4"/>
  <c r="J24" i="4"/>
  <c r="L28" i="4"/>
  <c r="L26" i="4"/>
  <c r="M2" i="4"/>
  <c r="N31" i="4"/>
  <c r="L63" i="4"/>
  <c r="J56" i="4"/>
  <c r="N46" i="4"/>
  <c r="N43" i="4"/>
  <c r="J31" i="4"/>
  <c r="N33" i="4"/>
  <c r="N5" i="4"/>
  <c r="J30" i="4"/>
  <c r="J29" i="4"/>
  <c r="L8" i="4"/>
  <c r="K54" i="4"/>
  <c r="M9" i="4"/>
  <c r="K63" i="4"/>
  <c r="L60" i="4"/>
  <c r="M43" i="4"/>
  <c r="K36" i="4"/>
  <c r="M33" i="4"/>
  <c r="M5" i="4"/>
  <c r="N59" i="4"/>
  <c r="N20" i="4"/>
  <c r="K8" i="4"/>
  <c r="J54" i="4"/>
  <c r="L9" i="4"/>
  <c r="N25" i="4"/>
  <c r="N6" i="4"/>
  <c r="M25" i="4"/>
  <c r="N52" i="4"/>
  <c r="M11" i="4"/>
  <c r="M49" i="4"/>
  <c r="L46" i="4"/>
  <c r="K44" i="4"/>
  <c r="K42" i="4"/>
  <c r="J14" i="4"/>
  <c r="N7" i="4"/>
  <c r="M6" i="4"/>
  <c r="J25" i="4"/>
  <c r="N58" i="4"/>
  <c r="N57" i="4"/>
  <c r="N56" i="4"/>
  <c r="N55" i="4"/>
  <c r="N50" i="4"/>
  <c r="N53" i="4"/>
  <c r="L52" i="4"/>
  <c r="L51" i="4"/>
  <c r="L11" i="4"/>
  <c r="L49" i="4"/>
  <c r="L48" i="4"/>
  <c r="L47" i="4"/>
  <c r="J46" i="4"/>
  <c r="J45" i="4"/>
  <c r="J44" i="4"/>
  <c r="J43" i="4"/>
  <c r="J42" i="4"/>
  <c r="J34" i="4"/>
  <c r="N37" i="4"/>
  <c r="N35" i="4"/>
  <c r="M7" i="4"/>
  <c r="L6" i="4"/>
  <c r="M47" i="4"/>
  <c r="K34" i="4"/>
  <c r="N23" i="4"/>
  <c r="M58" i="4"/>
  <c r="M57" i="4"/>
  <c r="M56" i="4"/>
  <c r="M55" i="4"/>
  <c r="M50" i="4"/>
  <c r="L53" i="4"/>
  <c r="K52" i="4"/>
  <c r="K51" i="4"/>
  <c r="K11" i="4"/>
  <c r="K49" i="4"/>
  <c r="K48" i="4"/>
  <c r="J47" i="4"/>
  <c r="N10" i="4"/>
  <c r="M37" i="4"/>
  <c r="M35" i="4"/>
  <c r="L7" i="4"/>
  <c r="K6" i="4"/>
  <c r="M51" i="4"/>
  <c r="M48" i="4"/>
  <c r="K45" i="4"/>
  <c r="K43" i="4"/>
  <c r="N63" i="4"/>
  <c r="N62" i="4"/>
  <c r="N61" i="4"/>
  <c r="N60" i="4"/>
  <c r="L23" i="4"/>
  <c r="L58" i="4"/>
  <c r="L57" i="4"/>
  <c r="L56" i="4"/>
  <c r="L55" i="4"/>
  <c r="L50" i="4"/>
  <c r="J53" i="4"/>
  <c r="J52" i="4"/>
  <c r="J51" i="4"/>
  <c r="J11" i="4"/>
  <c r="J49" i="4"/>
  <c r="J48" i="4"/>
  <c r="N27" i="4"/>
  <c r="N15" i="4"/>
  <c r="N9" i="4"/>
  <c r="N26" i="4"/>
  <c r="N38" i="4"/>
  <c r="N17" i="4"/>
  <c r="L10" i="4"/>
  <c r="L37" i="4"/>
  <c r="L35" i="4"/>
  <c r="K7" i="4"/>
  <c r="J6" i="4"/>
  <c r="L25" i="4"/>
  <c r="N4" i="4"/>
  <c r="K61" i="4"/>
  <c r="M60" i="4"/>
  <c r="K50" i="4"/>
  <c r="M53" i="4"/>
  <c r="K47" i="4"/>
  <c r="M46" i="4"/>
  <c r="K14" i="4"/>
  <c r="M31" i="4"/>
  <c r="K33" i="4"/>
  <c r="M32" i="4"/>
  <c r="K59" i="4"/>
  <c r="M29" i="4"/>
  <c r="K40" i="4"/>
  <c r="M39" i="4"/>
  <c r="K38" i="4"/>
  <c r="M17" i="4"/>
  <c r="K25" i="4"/>
  <c r="M4" i="4"/>
  <c r="K60" i="4"/>
  <c r="M23" i="4"/>
  <c r="K53" i="4"/>
  <c r="M52" i="4"/>
  <c r="K46" i="4"/>
  <c r="M45" i="4"/>
  <c r="K31" i="4"/>
  <c r="M41" i="4"/>
  <c r="K32" i="4"/>
  <c r="M19" i="4"/>
  <c r="K29" i="4"/>
  <c r="M24" i="4"/>
  <c r="K39" i="4"/>
  <c r="M54" i="4"/>
  <c r="K17" i="4"/>
  <c r="M10" i="4"/>
  <c r="K4" i="4"/>
  <c r="M3" i="4"/>
  <c r="D14" i="3"/>
  <c r="D21" i="2"/>
  <c r="D5" i="2"/>
  <c r="D36" i="2"/>
  <c r="D3" i="2"/>
  <c r="D29" i="2"/>
  <c r="D12" i="2"/>
  <c r="D60" i="2"/>
  <c r="D55" i="2"/>
  <c r="D5" i="3"/>
  <c r="D38" i="2"/>
  <c r="D7" i="3"/>
  <c r="D65" i="2"/>
  <c r="D53" i="2"/>
  <c r="D32" i="2"/>
  <c r="D24" i="2"/>
  <c r="D6" i="2"/>
  <c r="D42" i="2"/>
  <c r="D43" i="2"/>
  <c r="D27" i="2"/>
  <c r="D37" i="2"/>
  <c r="D6" i="3"/>
  <c r="D20" i="2"/>
  <c r="D31" i="2"/>
  <c r="D13" i="2"/>
  <c r="D41" i="2"/>
  <c r="D11" i="3"/>
  <c r="D46" i="2"/>
  <c r="D8" i="2"/>
  <c r="D45" i="2"/>
  <c r="D50" i="2"/>
  <c r="D33" i="2"/>
  <c r="D4" i="2"/>
  <c r="D17" i="3"/>
  <c r="D30" i="2"/>
  <c r="D58" i="2"/>
  <c r="D13" i="3"/>
  <c r="D10" i="2"/>
  <c r="D9" i="2"/>
  <c r="D23" i="2"/>
  <c r="D28" i="2"/>
  <c r="D15" i="2"/>
  <c r="D16" i="2"/>
  <c r="D34" i="2"/>
  <c r="D18" i="3"/>
  <c r="D39" i="2"/>
  <c r="D8" i="3"/>
  <c r="D19" i="2"/>
  <c r="D18" i="2"/>
  <c r="D7" i="2"/>
  <c r="A2" i="4"/>
  <c r="D3" i="3"/>
  <c r="D15" i="3"/>
  <c r="D17" i="2"/>
  <c r="D14" i="2"/>
  <c r="D35" i="2"/>
  <c r="D11" i="2"/>
  <c r="D26" i="2"/>
  <c r="D40" i="2"/>
  <c r="D4" i="3"/>
  <c r="D64" i="2"/>
  <c r="D9" i="3"/>
  <c r="D44" i="2"/>
  <c r="D47" i="2"/>
  <c r="D10" i="3"/>
  <c r="D12" i="3"/>
  <c r="D54" i="2"/>
  <c r="D49" i="2"/>
  <c r="D16" i="3"/>
  <c r="D2" i="3"/>
  <c r="D25" i="2"/>
  <c r="D61" i="2"/>
  <c r="D22" i="2"/>
  <c r="D66" i="2"/>
  <c r="D2" i="2"/>
  <c r="I57" i="4" l="1"/>
  <c r="I2" i="4"/>
  <c r="I12" i="4"/>
  <c r="I37" i="4"/>
  <c r="I33" i="4"/>
  <c r="I39" i="4"/>
  <c r="I20" i="4"/>
  <c r="I36" i="4"/>
  <c r="I11" i="4"/>
  <c r="I18" i="4"/>
  <c r="I27" i="4"/>
  <c r="I32" i="4"/>
  <c r="I13" i="4"/>
  <c r="I42" i="4"/>
  <c r="I9" i="4"/>
  <c r="I4" i="4"/>
  <c r="I62" i="4"/>
  <c r="I31" i="4"/>
  <c r="I29" i="4"/>
  <c r="I49" i="4"/>
  <c r="I10" i="4"/>
  <c r="I7" i="4"/>
  <c r="I25" i="4"/>
  <c r="I61" i="4"/>
  <c r="I56" i="4"/>
  <c r="I52" i="4"/>
  <c r="I43" i="4"/>
  <c r="I46" i="4"/>
  <c r="I35" i="4"/>
  <c r="I8" i="4"/>
  <c r="I26" i="4"/>
  <c r="I58" i="4"/>
  <c r="I17" i="4"/>
  <c r="I44" i="4"/>
  <c r="I14" i="4"/>
  <c r="I40" i="4"/>
  <c r="I34" i="4"/>
  <c r="I63" i="4"/>
  <c r="I47" i="4"/>
  <c r="I55" i="4"/>
  <c r="I59" i="4"/>
  <c r="I38" i="4"/>
  <c r="I30" i="4"/>
  <c r="I5" i="4"/>
  <c r="I50" i="4"/>
  <c r="I3" i="4"/>
  <c r="I53" i="4"/>
  <c r="I48" i="4"/>
  <c r="I45" i="4"/>
  <c r="I21" i="4"/>
  <c r="I16" i="4"/>
  <c r="I28" i="4"/>
  <c r="I23" i="4"/>
  <c r="I54" i="4"/>
  <c r="I19" i="4"/>
  <c r="I6" i="4"/>
  <c r="I24" i="4"/>
  <c r="I22" i="4"/>
  <c r="I51" i="4"/>
  <c r="I60" i="4"/>
  <c r="I15" i="4"/>
  <c r="I4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<sst xmlns="http://schemas.openxmlformats.org/spreadsheetml/2006/main" count="1801" uniqueCount="167">
  <si>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</si>
  <si>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</si>
  <si>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</si>
  <si>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</si>
  <si>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</si>
  <si>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</si>
  <si>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</si>
  <si>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</si>
  <si>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</si>
  <si>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</si>
  <si>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</si>
  <si>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</si>
  <si>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</si>
  <si>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</si>
  <si>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</si>
  <si>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</si>
  <si>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</si>
  <si>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</si>
  <si>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</si>
  <si>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</si>
  <si>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</si>
  <si>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</si>
  <si>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</si>
  <si>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</si>
  <si>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</si>
  <si>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</si>
  <si>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</si>
  <si>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</si>
  <si>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</si>
  <si>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</si>
  <si>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</si>
  <si>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</si>
  <si>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</si>
  <si>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</si>
  <si>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</si>
  <si>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</si>
  <si>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</si>
  <si>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</si>
  <si>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</si>
  <si>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</si>
  <si>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</si>
  <si>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17:00 - 04:00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</si>
  <si>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</si>
  <si>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</si>
  <si>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</si>
  <si>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</si>
  <si>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</si>
  <si>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</si>
  <si>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</si>
  <si>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</si>
  <si>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</si>
  <si>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</si>
  <si>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</si>
  <si>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</si>
  <si>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</si>
  <si>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</si>
  <si>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Cyril Tagalog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</si>
  <si>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</si>
  <si>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</si>
  <si>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</si>
  <si>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</si>
  <si>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</si>
  <si>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</si>
  <si>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Erica Mae Villamor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</si>
  <si>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</si>
  <si>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</si>
  <si>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</si>
  <si>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</si>
  <si>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</si>
  <si>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</si>
  <si>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</si>
  <si>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</si>
  <si>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</si>
  <si>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</si>
  <si>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</si>
  <si>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</si>
  <si>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</si>
  <si>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</si>
  <si>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</si>
  <si>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</si>
  <si>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</si>
  <si>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</si>
  <si>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</si>
  <si>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</si>
  <si>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</si>
  <si>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</si>
  <si>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</si>
  <si>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</si>
  <si>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Joemie Ann Benedicto</t>
  </si>
  <si>
    <t>Joseph Brian Nagor</t>
  </si>
  <si>
    <t>21:00 - 8:00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</si>
  <si>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</si>
  <si>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</si>
  <si>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</si>
  <si>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</si>
  <si>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</si>
  <si>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</si>
  <si>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</si>
  <si>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</si>
  <si>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</si>
  <si>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</si>
  <si>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</si>
  <si>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</si>
  <si>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</si>
  <si>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</si>
  <si>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</si>
  <si>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</si>
  <si>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</si>
  <si>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</si>
  <si>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</si>
  <si>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</si>
  <si>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22:00 - 09:00</t>
  </si>
  <si>
    <t>Mhar Anthony Juezan</t>
  </si>
  <si>
    <t>Mon-Tue-Wed</t>
  </si>
  <si>
    <t>Michelle Corbeta</t>
  </si>
  <si>
    <t>Pat Marlou Tanola</t>
  </si>
  <si>
    <t>07:00 - 18:00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</si>
  <si>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</si>
  <si>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</si>
  <si>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</si>
  <si>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</si>
  <si>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</si>
  <si>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</si>
  <si>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</si>
  <si>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</si>
  <si>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</si>
  <si>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</si>
  <si>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Sam Supnet</t>
  </si>
  <si>
    <t>10:30 - 21:30</t>
  </si>
  <si>
    <t>Samantha Yvonne Dela Costa</t>
  </si>
  <si>
    <t>Sean Gabriel Ramirez</t>
  </si>
  <si>
    <t>Shiela Mae Laroa</t>
  </si>
  <si>
    <t>William Nava</t>
  </si>
  <si>
    <t>PH SHIFT</t>
  </si>
  <si>
    <t>OFFSET</t>
  </si>
  <si>
    <t>16:00 - 03:00</t>
  </si>
  <si>
    <t>14:00 - 01:00</t>
  </si>
  <si>
    <t>15:00 - 02:00</t>
  </si>
  <si>
    <t>19:30 - 06:30</t>
  </si>
  <si>
    <t>06:30 - 17:30</t>
  </si>
  <si>
    <t>Shift EST</t>
  </si>
  <si>
    <t>Charmane Briones</t>
  </si>
  <si>
    <t>Ash Belarmino</t>
  </si>
  <si>
    <t>Wed - Thur - Sun</t>
  </si>
  <si>
    <t>Wed - Thur - Fri</t>
  </si>
  <si>
    <t>Cesthel Narciso</t>
  </si>
  <si>
    <t>Thu- Fri-Sat</t>
  </si>
  <si>
    <t>Eljohn Mar Cabalida</t>
  </si>
  <si>
    <t>08:30 - 19:30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</si>
  <si>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</si>
  <si>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</si>
  <si>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</si>
  <si>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</si>
  <si>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</si>
  <si>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</si>
  <si>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</si>
  <si>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</si>
  <si>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</si>
  <si>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</si>
  <si>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</si>
  <si>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Called Off</t>
  </si>
  <si>
    <t>Running Late (No ETA)</t>
  </si>
  <si>
    <t>Running Late (ETA : 17:00)</t>
  </si>
  <si>
    <t>Left Early</t>
  </si>
  <si>
    <t>Jhon Lloyd Camero</t>
  </si>
  <si>
    <t>Roel Gutay</t>
  </si>
  <si>
    <t>Ronald Balitos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</si>
</sst>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1" fillId="2" borderId="1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3" borderId="4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4" borderId="0" xfId="0" applyFill="1"/>
    <xf numFmtId="20" fontId="0" fillId="0" borderId="0" xfId="0" applyNumberFormat="1"/>
    <xf numFmtId="0" fontId="0" fillId="0" borderId="5" xfId="0" applyBorder="1"/>
    <xf numFmtId="0" fontId="1" fillId="0" borderId="0" xfId="0" applyFont="1"/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1" fillId="0" borderId="9" xfId="0" applyFont="1" applyBorder="1"/>
    <xf numFmtId="20" fontId="2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1" fillId="7" borderId="9" xfId="0" applyFont="1" applyFill="1" applyBorder="1"/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0" fontId="2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1" fillId="6" borderId="9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20" fontId="0" fillId="6" borderId="1" xfId="0" applyNumberFormat="1" applyFill="1" applyBorder="1" applyAlignment="1">
      <alignment horizontal="center"/>
    </xf>
    <xf numFmtId="0" fontId="1" fillId="0" borderId="10" xfId="0" applyFont="1" applyBorder="1"/>
    <xf numFmtId="0" fontId="0" fillId="0" borderId="11" xfId="0" applyBorder="1" applyAlignment="1">
      <alignment horizontal="center"/>
    </xf>
    <xf numFmtId="18" fontId="0" fillId="0" borderId="0" xfId="0" applyNumberFormat="1"/>
    <xf numFmtId="0" fontId="5" fillId="8" borderId="12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4" xfId="0" applyFont="1" applyFill="1" applyBorder="1" applyAlignment="1">
      <alignment horizontal="center"/>
    </xf>
    <xf numFmtId="0" fontId="7" fillId="5" borderId="0" xfId="0" applyFont="1" applyFill="1"/>
    <xf numFmtId="0" fontId="6" fillId="3" borderId="15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3" xfId="0" applyFont="1" applyBorder="1" applyAlignment="1">
      <alignment horizontal="center"/>
    </xf>
    <xf numFmtId="0" fontId="0" fillId="0" borderId="1" xfId="0" applyBorder="1"/>
    <xf numFmtId="0" fontId="7" fillId="0" borderId="1" xfId="0" applyFont="1" applyBorder="1"/>
    <xf numFmtId="0" fontId="1" fillId="0" borderId="16" xfId="0" applyFont="1" applyBorder="1"/>
    <xf numFmtId="0" fontId="1" fillId="0" borderId="11" xfId="0" applyFont="1" applyBorder="1"/>
    <xf numFmtId="0" fontId="1" fillId="0" borderId="7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20" fontId="2" fillId="0" borderId="16" xfId="0" applyNumberFormat="1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11" xfId="0" applyBorder="1"/>
    <xf numFmtId="20" fontId="0" fillId="0" borderId="11" xfId="0" applyNumberFormat="1" applyBorder="1"/>
    <xf numFmtId="0" fontId="0" fillId="7" borderId="1" xfId="0" applyFill="1" applyBorder="1"/>
    <xf numFmtId="0" fontId="1" fillId="7" borderId="1" xfId="0" applyFont="1" applyFill="1" applyBorder="1"/>
    <xf numFmtId="20" fontId="0" fillId="7" borderId="1" xfId="0" applyNumberFormat="1" applyFill="1" applyBorder="1" applyAlignment="1">
      <alignment horizontal="center"/>
    </xf>
  </cellXfs>
  <cellStyles count="1">
    <cellStyle name="Normal" xfId="0" builtinId="0"/>
  </cellStyles>
  <dxfs count="5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7" totalsRowShown="0" headerRowDxfId="54" dataDxfId="53">
  <autoFilter ref="A1:P67" xr:uid="{7ABFA2A7-F67E-4B2A-A8BF-BEE95EA31C8C}"/>
  <sortState xmlns:xlrd2="http://schemas.microsoft.com/office/spreadsheetml/2017/richdata2" ref="A2:P67">
    <sortCondition ref="A1:A67"/>
  </sortState>
  <tableColumns count="16">
    <tableColumn id="1" xr3:uid="{311D3BBD-E613-4DFC-BAEE-EFBB3B28FB24}" name="Name"/>
    <tableColumn id="2" xr3:uid="{8F9001A5-53DA-4394-B0E5-25F630DB5BF6}" name="Monday" dataDxfId="52"/>
    <tableColumn id="3" xr3:uid="{3E5E1574-0687-42F8-83FC-FF1DC5A3A1CD}" name="Tuesday" dataDxfId="51"/>
    <tableColumn id="4" xr3:uid="{F68D4C7A-FCEC-416D-AFAD-938A63C9CBEF}" name="Wednesday" dataDxfId="50"/>
    <tableColumn id="5" xr3:uid="{1F93A4D0-18D3-489D-A117-3EA1B5FCDA6B}" name="Thursday" dataDxfId="49"/>
    <tableColumn id="6" xr3:uid="{F7EB6F67-1D2C-4168-B022-EBE1D0A8C53E}" name="Friday" dataDxfId="48"/>
    <tableColumn id="7" xr3:uid="{4468F089-19B5-46D6-B159-26D48BEE6069}" name="Saturday" dataDxfId="47"/>
    <tableColumn id="8" xr3:uid="{656D0C06-0D87-4AF0-92B8-E6F1E82CBC64}" name="Sunday" dataDxfId="46"/>
    <tableColumn id="9" xr3:uid="{B97D3317-68FD-4A57-885E-707D52D263B4}" name="Rest Day" dataDxfId="45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7E036D05-4624-4C4C-87AB-F7B6D9A8C0E4}" name="Break 1" dataDxfId="44"/>
    <tableColumn id="11" xr3:uid="{88924D9B-8678-4178-BEFB-215AA9009733}" name="Break 2" dataDxfId="43"/>
    <tableColumn id="12" xr3:uid="{C59CED7B-F5BE-4814-869E-CE877E479C6F}" name="Lunch" dataDxfId="42"/>
    <tableColumn id="13" xr3:uid="{D65400CD-D6ED-42E4-B248-2E26156D6E50}" name="Break 3" dataDxfId="41"/>
    <tableColumn id="14" xr3:uid="{CE201AE6-41C0-49DC-AEBC-553D2850C4E3}" name="Supervisor" dataDxfId="40"/>
    <tableColumn id="15" xr3:uid="{83DD762A-DAE0-4AFE-8CA5-492B818BB79A}" name="EST SHIFT" dataDxfId="39"/>
    <tableColumn id="16" xr3:uid="{E5884264-6259-4BC2-9654-B2991AB594FD}" name="Column1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67" totalsRowShown="0" headerRowDxfId="37" dataDxfId="36">
  <autoFilter ref="A1:P67" xr:uid="{94473D84-D9EA-4A0A-B91F-B5DB26D776E2}"/>
  <tableColumns count="16">
    <tableColumn id="1" xr3:uid="{D0B0696F-75FC-4AFF-A11B-C5D46CC25C78}" name="Name" dataDxfId="35">
      <calculatedColumnFormula>Table2[[#This Row],[Name]]</calculatedColumnFormula>
    </tableColumn>
    <tableColumn id="2" xr3:uid="{BBF0B479-620B-4B71-BB9A-1F4E5FBB2C82}" name="Monday" dataDxfId="34"/>
    <tableColumn id="3" xr3:uid="{F4D315E5-0361-4733-A5E1-09F451DC19DD}" name="Tuesday" dataDxfId="33"/>
    <tableColumn id="4" xr3:uid="{2E476E27-E48D-4AD9-BD5F-522EF6FC58A0}" name="Wednesday" dataDxfId="32"/>
    <tableColumn id="5" xr3:uid="{A18B12AD-041B-4C04-9106-2824C53C1DE2}" name="Thursday" dataDxfId="31"/>
    <tableColumn id="6" xr3:uid="{0E90988C-50D8-43F9-926F-8CBAA6CF48A6}" name="Friday" dataDxfId="30"/>
    <tableColumn id="7" xr3:uid="{1EA1CACD-D7F8-417C-AD10-6AE8B3F951AF}" name="Saturday" dataDxfId="29"/>
    <tableColumn id="8" xr3:uid="{DC9C8B77-9487-45DC-B5CA-C948E19F7C3B}" name="Sunday" dataDxfId="28"/>
    <tableColumn id="9" xr3:uid="{66009700-7181-415F-BE1E-8B3368A13FF7}" name="Rest Day" dataDxfId="27"/>
    <tableColumn id="10" xr3:uid="{D17B8E11-9A58-48EF-919A-BD4ABB27F564}" name="Break 1" dataDxfId="26"/>
    <tableColumn id="11" xr3:uid="{44378E06-1320-4348-BB95-2AA160393F58}" name="Break 2" dataDxfId="25"/>
    <tableColumn id="12" xr3:uid="{843CA1FD-F228-49F9-BD5D-F8CAF978B199}" name="Lunch" dataDxfId="24"/>
    <tableColumn id="13" xr3:uid="{66403EC5-BF40-49EC-AC72-576350FD2523}" name="Break 3" dataDxfId="23"/>
    <tableColumn id="14" xr3:uid="{3756309B-9082-4BF0-8B84-8D7322F3FF86}" name="Supervisor" dataDxfId="22"/>
    <tableColumn id="15" xr3:uid="{F72805BC-41F7-4089-876A-3AA562898F65}" name="PH SHIFT" dataDxfId="21"/>
    <tableColumn id="16" xr3:uid="{17F73FE5-6305-48B3-872C-53656D5EBDA7}" name="OFFSET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9" headerRowBorderDxfId="18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7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X67"/>
  <sheetViews>
    <sheetView tabSelected="1" zoomScaleNormal="100" workbookViewId="0">
      <pane ySplit="1" topLeftCell="A47" activePane="bottomLeft" state="frozen"/>
      <selection pane="bottomLeft" activeCell="F60" sqref="F60"/>
    </sheetView>
  </sheetViews>
  <sheetFormatPr defaultRowHeight="14.4" x14ac:dyDescent="0.3"/>
  <cols>
    <col min="1" max="1" width="26.88671875" bestFit="1" customWidth="1"/>
    <col min="2" max="3" width="12.44140625" bestFit="1" customWidth="1"/>
    <col min="4" max="4" width="13.88671875" bestFit="1" customWidth="1"/>
    <col min="5" max="8" width="12.44140625" bestFit="1" customWidth="1"/>
    <col min="9" max="9" width="14.88671875" bestFit="1" customWidth="1"/>
    <col min="10" max="11" width="10" bestFit="1" customWidth="1"/>
    <col min="12" max="12" width="8.88671875" bestFit="1" customWidth="1"/>
    <col min="13" max="13" width="10" bestFit="1" customWidth="1"/>
    <col min="14" max="14" width="20.33203125" customWidth="1"/>
    <col min="15" max="15" width="12.44140625" bestFit="1" customWidth="1"/>
    <col min="16" max="16" width="11.5546875" bestFit="1" customWidth="1"/>
  </cols>
  <sheetData>
    <row r="1" spans="1:102" x14ac:dyDescent="0.3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1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0" t="s">
        <v>14</v>
      </c>
      <c r="P1" t="s">
        <v>15</v>
      </c>
    </row>
    <row r="2" spans="1:102" x14ac:dyDescent="0.3">
      <c r="A2" s="6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tr">
        <f t="shared" ref="I2:I65" si="0">_xlfn.TEXTJOIN(" - ",TRUE,
IF(B2="OFF","Mon",""),
IF(C2="OFF","Tue",""),
IF(D2="OFF","Wed",""),
IF(E2="OFF","Thu",""),
IF(F2="OFF","Fri",""),
IF(G2="OFF","Sat",""),
IF(H2="OFF","Sun",""))</f>
        <v>Wed - Thu - Fri</v>
      </c>
      <c r="J2" s="52">
        <v>0.125</v>
      </c>
      <c r="K2" s="52">
        <v>0.35416666666666669</v>
      </c>
      <c r="L2" s="52">
        <v>0.26041666666666669</v>
      </c>
      <c r="M2" s="52">
        <v>0.44791666666666669</v>
      </c>
      <c r="N2" s="44" t="s">
        <v>20</v>
      </c>
      <c r="O2" s="1" t="s">
        <v>17</v>
      </c>
      <c r="P2">
        <f t="shared" ref="P2:P33" si="1">IF(O2="OFF",0,IF(VALUE(LEFT(O2,2))&lt;12,0,1))</f>
        <v>0</v>
      </c>
    </row>
    <row r="3" spans="1:102" x14ac:dyDescent="0.3">
      <c r="A3" s="6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tr">
        <f t="shared" si="0"/>
        <v>Thu - Fri - Sat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1" t="s">
        <v>22</v>
      </c>
      <c r="P3">
        <f t="shared" si="1"/>
        <v>1</v>
      </c>
    </row>
    <row r="4" spans="1:102" x14ac:dyDescent="0.3">
      <c r="A4" s="6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tr">
        <f t="shared" si="0"/>
        <v>Thu - Sat - Sun</v>
      </c>
      <c r="J4" s="3">
        <v>0.39583333333333331</v>
      </c>
      <c r="K4" s="3">
        <v>0.60416666666666663</v>
      </c>
      <c r="L4" s="3">
        <v>0.47916666666666669</v>
      </c>
      <c r="M4" s="3">
        <v>0.73958333333333337</v>
      </c>
      <c r="N4" s="4" t="s">
        <v>27</v>
      </c>
      <c r="O4" s="1" t="s">
        <v>25</v>
      </c>
      <c r="P4">
        <f t="shared" si="1"/>
        <v>0</v>
      </c>
    </row>
    <row r="5" spans="1:102" x14ac:dyDescent="0.3">
      <c r="A5" s="6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tr">
        <f t="shared" si="0"/>
        <v>Fri - Sat - Sun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27</v>
      </c>
      <c r="O5" s="1" t="s">
        <v>29</v>
      </c>
      <c r="P5">
        <f t="shared" si="1"/>
        <v>0</v>
      </c>
    </row>
    <row r="6" spans="1:102" x14ac:dyDescent="0.3">
      <c r="A6" s="6" t="s">
        <v>31</v>
      </c>
      <c r="B6" s="1" t="s">
        <v>18</v>
      </c>
      <c r="C6" s="1" t="s">
        <v>18</v>
      </c>
      <c r="D6" s="1" t="s">
        <v>18</v>
      </c>
      <c r="E6" s="5" t="s">
        <v>32</v>
      </c>
      <c r="F6" s="5" t="s">
        <v>32</v>
      </c>
      <c r="G6" s="5" t="s">
        <v>32</v>
      </c>
      <c r="H6" s="5" t="s">
        <v>32</v>
      </c>
      <c r="I6" s="2" t="str">
        <f t="shared" si="0"/>
        <v>Mon - Tue - Wed</v>
      </c>
      <c r="J6" s="3">
        <v>0.92708333333333337</v>
      </c>
      <c r="K6" s="3">
        <v>1.0416666666666666E-2</v>
      </c>
      <c r="L6" s="3">
        <v>0.1875</v>
      </c>
      <c r="M6" s="3">
        <v>0.10416666666666667</v>
      </c>
      <c r="N6" s="4" t="s">
        <v>34</v>
      </c>
      <c r="O6" s="5" t="s">
        <v>32</v>
      </c>
      <c r="P6">
        <f t="shared" si="1"/>
        <v>1</v>
      </c>
    </row>
    <row r="7" spans="1:102" s="14" customFormat="1" x14ac:dyDescent="0.3">
      <c r="A7" s="6" t="s">
        <v>35</v>
      </c>
      <c r="B7" s="1" t="s">
        <v>18</v>
      </c>
      <c r="C7" s="1" t="s">
        <v>18</v>
      </c>
      <c r="D7" s="1" t="s">
        <v>36</v>
      </c>
      <c r="E7" s="1" t="s">
        <v>36</v>
      </c>
      <c r="F7" s="1" t="s">
        <v>36</v>
      </c>
      <c r="G7" s="1" t="s">
        <v>36</v>
      </c>
      <c r="H7" s="1" t="s">
        <v>18</v>
      </c>
      <c r="I7" s="2" t="str">
        <f t="shared" si="0"/>
        <v>Mon - Tue - Sun</v>
      </c>
      <c r="J7" s="3">
        <v>0.45833333333333331</v>
      </c>
      <c r="K7" s="3">
        <v>0.55208333333333337</v>
      </c>
      <c r="L7" s="3">
        <v>0.6875</v>
      </c>
      <c r="M7" s="3">
        <v>0.78125</v>
      </c>
      <c r="N7" s="4" t="s">
        <v>38</v>
      </c>
      <c r="O7" s="1" t="s">
        <v>36</v>
      </c>
      <c r="P7">
        <f t="shared" si="1"/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</row>
    <row r="8" spans="1:102" x14ac:dyDescent="0.3">
      <c r="A8" s="6" t="s">
        <v>39</v>
      </c>
      <c r="B8" s="1" t="s">
        <v>36</v>
      </c>
      <c r="C8" s="1" t="s">
        <v>36</v>
      </c>
      <c r="D8" s="1" t="s">
        <v>36</v>
      </c>
      <c r="E8" s="1" t="s">
        <v>18</v>
      </c>
      <c r="F8" s="1" t="s">
        <v>36</v>
      </c>
      <c r="G8" s="1" t="s">
        <v>18</v>
      </c>
      <c r="H8" s="1" t="s">
        <v>18</v>
      </c>
      <c r="I8" s="2" t="str">
        <f t="shared" si="0"/>
        <v>Thu - Sat - Sun</v>
      </c>
      <c r="J8" s="3">
        <v>0.47916666666666669</v>
      </c>
      <c r="K8" s="3">
        <v>0.625</v>
      </c>
      <c r="L8" s="3">
        <v>0.55208333333333337</v>
      </c>
      <c r="M8" s="3">
        <v>0.77083333333333337</v>
      </c>
      <c r="N8" s="4" t="s">
        <v>34</v>
      </c>
      <c r="O8" s="1" t="s">
        <v>36</v>
      </c>
      <c r="P8">
        <f t="shared" si="1"/>
        <v>0</v>
      </c>
    </row>
    <row r="9" spans="1:102" x14ac:dyDescent="0.3">
      <c r="A9" s="6" t="s">
        <v>40</v>
      </c>
      <c r="B9" s="1" t="s">
        <v>41</v>
      </c>
      <c r="C9" s="1" t="s">
        <v>41</v>
      </c>
      <c r="D9" s="1" t="s">
        <v>41</v>
      </c>
      <c r="E9" s="1" t="s">
        <v>18</v>
      </c>
      <c r="F9" s="1" t="s">
        <v>18</v>
      </c>
      <c r="G9" s="1" t="s">
        <v>18</v>
      </c>
      <c r="H9" s="1" t="s">
        <v>41</v>
      </c>
      <c r="I9" s="2" t="str">
        <f>_xlfn.TEXTJOIN(" - ",TRUE,
IF(B9="OFF","Mon",""),
IF(C9="OFF","Tue",""),
IF(D9="OFF","Wed",""),
IF(E9="OFF","Thu",""),
IF(F9="OFF","Fri",""),
IF(G9="OFF","Sat",""),
IF(H9="OFF","Sun",""))</f>
        <v>Thu - Fri - Sat</v>
      </c>
      <c r="J9" s="3">
        <v>0.79166666666666663</v>
      </c>
      <c r="K9" s="3">
        <v>2.0833333333333332E-2</v>
      </c>
      <c r="L9" s="3">
        <v>0.875</v>
      </c>
      <c r="M9" s="3">
        <v>0.11458333333333333</v>
      </c>
      <c r="N9" s="4" t="s">
        <v>43</v>
      </c>
      <c r="O9" s="1" t="s">
        <v>36</v>
      </c>
      <c r="P9">
        <f t="shared" si="1"/>
        <v>0</v>
      </c>
    </row>
    <row r="10" spans="1:102" x14ac:dyDescent="0.3">
      <c r="A10" s="6" t="s">
        <v>44</v>
      </c>
      <c r="B10" s="1" t="s">
        <v>36</v>
      </c>
      <c r="C10" s="1" t="s">
        <v>18</v>
      </c>
      <c r="D10" s="1" t="s">
        <v>36</v>
      </c>
      <c r="E10" s="1" t="s">
        <v>36</v>
      </c>
      <c r="F10" s="1" t="s">
        <v>36</v>
      </c>
      <c r="G10" s="1" t="s">
        <v>18</v>
      </c>
      <c r="H10" s="1" t="s">
        <v>18</v>
      </c>
      <c r="I10" s="2" t="str">
        <f t="shared" si="0"/>
        <v>Tue - Sat - Sun</v>
      </c>
      <c r="J10" s="3">
        <v>0.46875</v>
      </c>
      <c r="K10" s="3">
        <v>0.5625</v>
      </c>
      <c r="L10" s="3">
        <v>0.75</v>
      </c>
      <c r="M10" s="3">
        <v>0.65625</v>
      </c>
      <c r="N10" s="4" t="s">
        <v>38</v>
      </c>
      <c r="O10" s="1" t="s">
        <v>36</v>
      </c>
      <c r="P10">
        <f t="shared" si="1"/>
        <v>0</v>
      </c>
    </row>
    <row r="11" spans="1:102" x14ac:dyDescent="0.3">
      <c r="A11" s="6" t="s">
        <v>46</v>
      </c>
      <c r="B11" s="1" t="s">
        <v>47</v>
      </c>
      <c r="C11" s="1" t="s">
        <v>47</v>
      </c>
      <c r="D11" s="1" t="s">
        <v>18</v>
      </c>
      <c r="E11" s="1" t="s">
        <v>47</v>
      </c>
      <c r="F11" s="1" t="s">
        <v>47</v>
      </c>
      <c r="G11" s="1" t="s">
        <v>18</v>
      </c>
      <c r="H11" s="1" t="s">
        <v>18</v>
      </c>
      <c r="I11" s="2" t="str">
        <f t="shared" si="0"/>
        <v>Wed - Sat - Sun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38</v>
      </c>
      <c r="O11" s="1" t="s">
        <v>47</v>
      </c>
      <c r="P11">
        <f t="shared" si="1"/>
        <v>0</v>
      </c>
    </row>
    <row r="12" spans="1:102" x14ac:dyDescent="0.3">
      <c r="A12" s="6" t="s">
        <v>49</v>
      </c>
      <c r="B12" s="1" t="s">
        <v>18</v>
      </c>
      <c r="C12" s="1" t="s">
        <v>36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tr">
        <f t="shared" si="0"/>
        <v>Mon - Sat - Sun</v>
      </c>
      <c r="J12" s="3">
        <v>0.45833333333333331</v>
      </c>
      <c r="K12" s="3">
        <v>0.54166666666666663</v>
      </c>
      <c r="L12" s="3">
        <v>0.64583333333333337</v>
      </c>
      <c r="M12" s="3">
        <v>0.76041666666666663</v>
      </c>
      <c r="N12" s="4" t="s">
        <v>34</v>
      </c>
      <c r="O12" s="1" t="s">
        <v>36</v>
      </c>
      <c r="P12">
        <f t="shared" si="1"/>
        <v>0</v>
      </c>
    </row>
    <row r="13" spans="1:102" x14ac:dyDescent="0.3">
      <c r="A13" s="6" t="s">
        <v>51</v>
      </c>
      <c r="B13" s="1" t="s">
        <v>29</v>
      </c>
      <c r="C13" s="1" t="s">
        <v>29</v>
      </c>
      <c r="D13" s="1" t="s">
        <v>29</v>
      </c>
      <c r="E13" s="1" t="s">
        <v>29</v>
      </c>
      <c r="F13" s="1" t="s">
        <v>18</v>
      </c>
      <c r="G13" s="1" t="s">
        <v>18</v>
      </c>
      <c r="H13" s="1" t="s">
        <v>18</v>
      </c>
      <c r="I13" s="2" t="str">
        <f t="shared" si="0"/>
        <v>Fri - Sat - Sun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43</v>
      </c>
      <c r="O13" s="1" t="s">
        <v>29</v>
      </c>
      <c r="P13">
        <f t="shared" si="1"/>
        <v>0</v>
      </c>
    </row>
    <row r="14" spans="1:102" x14ac:dyDescent="0.3">
      <c r="A14" s="45" t="s">
        <v>52</v>
      </c>
      <c r="B14" s="1" t="s">
        <v>18</v>
      </c>
      <c r="C14" s="1" t="s">
        <v>18</v>
      </c>
      <c r="D14" s="1" t="s">
        <v>18</v>
      </c>
      <c r="E14" s="1" t="s">
        <v>53</v>
      </c>
      <c r="F14" s="1" t="s">
        <v>53</v>
      </c>
      <c r="G14" s="1" t="s">
        <v>53</v>
      </c>
      <c r="H14" s="1" t="s">
        <v>53</v>
      </c>
      <c r="I14" s="2" t="str">
        <f t="shared" si="0"/>
        <v>Mon - Tue - Wed</v>
      </c>
      <c r="J14" s="3">
        <v>0.875</v>
      </c>
      <c r="K14" s="3">
        <v>0.95833333333333337</v>
      </c>
      <c r="L14" s="3">
        <v>6.25E-2</v>
      </c>
      <c r="M14" s="3">
        <v>0.1875</v>
      </c>
      <c r="N14" s="4" t="s">
        <v>27</v>
      </c>
      <c r="O14" s="1" t="s">
        <v>53</v>
      </c>
      <c r="P14">
        <f t="shared" si="1"/>
        <v>1</v>
      </c>
    </row>
    <row r="15" spans="1:102" x14ac:dyDescent="0.3">
      <c r="A15" s="17" t="s">
        <v>54</v>
      </c>
      <c r="B15" s="1" t="s">
        <v>18</v>
      </c>
      <c r="C15" s="1" t="s">
        <v>55</v>
      </c>
      <c r="D15" s="1" t="s">
        <v>55</v>
      </c>
      <c r="E15" s="1" t="s">
        <v>55</v>
      </c>
      <c r="F15" s="1" t="s">
        <v>55</v>
      </c>
      <c r="G15" s="1" t="s">
        <v>18</v>
      </c>
      <c r="H15" s="1" t="s">
        <v>18</v>
      </c>
      <c r="I15" s="2" t="str">
        <f t="shared" si="0"/>
        <v>Mon - Sat - Sun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27</v>
      </c>
      <c r="O15" s="1" t="s">
        <v>55</v>
      </c>
      <c r="P15">
        <f t="shared" si="1"/>
        <v>0</v>
      </c>
    </row>
    <row r="16" spans="1:102" x14ac:dyDescent="0.3">
      <c r="A16" s="6" t="s">
        <v>56</v>
      </c>
      <c r="B16" s="1" t="s">
        <v>36</v>
      </c>
      <c r="C16" s="1" t="s">
        <v>36</v>
      </c>
      <c r="D16" s="1" t="s">
        <v>36</v>
      </c>
      <c r="E16" s="1" t="s">
        <v>36</v>
      </c>
      <c r="F16" s="1" t="s">
        <v>18</v>
      </c>
      <c r="G16" s="1" t="s">
        <v>18</v>
      </c>
      <c r="H16" s="1" t="s">
        <v>18</v>
      </c>
      <c r="I16" s="2" t="str">
        <f t="shared" si="0"/>
        <v>Fri - Sat - Sun</v>
      </c>
      <c r="J16" s="3">
        <v>0.47916666666666669</v>
      </c>
      <c r="K16" s="3">
        <v>0.72916666666666663</v>
      </c>
      <c r="L16" s="3">
        <v>0.60416666666666663</v>
      </c>
      <c r="M16" s="3">
        <v>0.80208333333333337</v>
      </c>
      <c r="N16" s="4" t="s">
        <v>27</v>
      </c>
      <c r="O16" s="1" t="s">
        <v>36</v>
      </c>
      <c r="P16">
        <f t="shared" si="1"/>
        <v>0</v>
      </c>
    </row>
    <row r="17" spans="1:16" x14ac:dyDescent="0.3">
      <c r="A17" s="6" t="s">
        <v>57</v>
      </c>
      <c r="B17" s="1" t="s">
        <v>25</v>
      </c>
      <c r="C17" s="1" t="s">
        <v>18</v>
      </c>
      <c r="D17" s="1" t="s">
        <v>18</v>
      </c>
      <c r="E17" s="1" t="s">
        <v>18</v>
      </c>
      <c r="F17" s="1" t="s">
        <v>25</v>
      </c>
      <c r="G17" s="1" t="s">
        <v>25</v>
      </c>
      <c r="H17" s="1" t="s">
        <v>25</v>
      </c>
      <c r="I17" s="2" t="str">
        <f t="shared" si="0"/>
        <v>Tue - Wed - Thu</v>
      </c>
      <c r="J17" s="3">
        <v>0.4375</v>
      </c>
      <c r="K17" s="3">
        <v>0.64583333333333337</v>
      </c>
      <c r="L17" s="3">
        <v>0.52083333333333337</v>
      </c>
      <c r="M17" s="3">
        <v>0.75</v>
      </c>
      <c r="N17" s="4" t="s">
        <v>27</v>
      </c>
      <c r="O17" s="1" t="s">
        <v>25</v>
      </c>
      <c r="P17">
        <f t="shared" si="1"/>
        <v>0</v>
      </c>
    </row>
    <row r="18" spans="1:16" x14ac:dyDescent="0.3">
      <c r="A18" s="6" t="s">
        <v>58</v>
      </c>
      <c r="B18" s="1" t="s">
        <v>59</v>
      </c>
      <c r="C18" s="1" t="s">
        <v>59</v>
      </c>
      <c r="D18" s="1" t="s">
        <v>59</v>
      </c>
      <c r="E18" s="1" t="s">
        <v>59</v>
      </c>
      <c r="F18" s="1" t="s">
        <v>18</v>
      </c>
      <c r="G18" s="1" t="s">
        <v>18</v>
      </c>
      <c r="H18" s="1" t="s">
        <v>18</v>
      </c>
      <c r="I18" s="2" t="str">
        <f t="shared" si="0"/>
        <v>Fri - Sat - Sun</v>
      </c>
      <c r="J18" s="3">
        <v>0.54166666666666663</v>
      </c>
      <c r="K18" s="3">
        <v>0.63541666666666663</v>
      </c>
      <c r="L18" s="3">
        <v>0.72916666666666663</v>
      </c>
      <c r="M18" s="3">
        <v>0.85416666666666663</v>
      </c>
      <c r="N18" s="4" t="s">
        <v>38</v>
      </c>
      <c r="O18" s="1" t="s">
        <v>59</v>
      </c>
      <c r="P18">
        <f t="shared" si="1"/>
        <v>0</v>
      </c>
    </row>
    <row r="19" spans="1:16" x14ac:dyDescent="0.3">
      <c r="A19" s="6" t="s">
        <v>60</v>
      </c>
      <c r="B19" s="1" t="s">
        <v>36</v>
      </c>
      <c r="C19" s="1" t="s">
        <v>36</v>
      </c>
      <c r="D19" s="1" t="s">
        <v>36</v>
      </c>
      <c r="E19" s="1" t="s">
        <v>18</v>
      </c>
      <c r="F19" s="1" t="s">
        <v>36</v>
      </c>
      <c r="G19" s="1" t="s">
        <v>18</v>
      </c>
      <c r="H19" s="1" t="s">
        <v>18</v>
      </c>
      <c r="I19" s="2" t="str">
        <f t="shared" si="0"/>
        <v>Thu - Sat - Sun</v>
      </c>
      <c r="J19" s="3">
        <v>0.45833333333333331</v>
      </c>
      <c r="K19" s="3">
        <v>0.57291666666666663</v>
      </c>
      <c r="L19" s="3">
        <v>0.64583333333333337</v>
      </c>
      <c r="M19" s="3">
        <v>0.77083333333333337</v>
      </c>
      <c r="N19" s="4" t="s">
        <v>38</v>
      </c>
      <c r="O19" s="1" t="s">
        <v>36</v>
      </c>
      <c r="P19">
        <f t="shared" si="1"/>
        <v>0</v>
      </c>
    </row>
    <row r="20" spans="1:16" x14ac:dyDescent="0.3">
      <c r="A20" s="6" t="s">
        <v>61</v>
      </c>
      <c r="B20" s="1" t="s">
        <v>36</v>
      </c>
      <c r="C20" s="1" t="s">
        <v>36</v>
      </c>
      <c r="D20" s="1" t="s">
        <v>18</v>
      </c>
      <c r="E20" s="1" t="s">
        <v>36</v>
      </c>
      <c r="F20" s="1" t="s">
        <v>36</v>
      </c>
      <c r="G20" s="1" t="s">
        <v>18</v>
      </c>
      <c r="H20" s="1" t="s">
        <v>18</v>
      </c>
      <c r="I20" s="2" t="str">
        <f t="shared" si="0"/>
        <v>Wed - Sat - Sun</v>
      </c>
      <c r="J20" s="3">
        <v>0.48958333333333331</v>
      </c>
      <c r="K20" s="3">
        <v>0.57291666666666663</v>
      </c>
      <c r="L20" s="3">
        <v>0.66666666666666663</v>
      </c>
      <c r="M20" s="3">
        <v>0.75</v>
      </c>
      <c r="N20" s="4" t="s">
        <v>38</v>
      </c>
      <c r="O20" s="1" t="s">
        <v>36</v>
      </c>
      <c r="P20">
        <f t="shared" si="1"/>
        <v>0</v>
      </c>
    </row>
    <row r="21" spans="1:16" x14ac:dyDescent="0.3">
      <c r="A21" s="6" t="s">
        <v>62</v>
      </c>
      <c r="B21" s="1" t="s">
        <v>25</v>
      </c>
      <c r="C21" s="1" t="s">
        <v>25</v>
      </c>
      <c r="D21" s="1" t="s">
        <v>18</v>
      </c>
      <c r="E21" s="1" t="s">
        <v>25</v>
      </c>
      <c r="F21" s="1" t="s">
        <v>25</v>
      </c>
      <c r="G21" s="1" t="s">
        <v>18</v>
      </c>
      <c r="H21" s="1" t="s">
        <v>18</v>
      </c>
      <c r="I21" s="2" t="str">
        <f t="shared" si="0"/>
        <v>Wed - Sat - Sun</v>
      </c>
      <c r="J21" s="3">
        <v>0.4375</v>
      </c>
      <c r="K21" s="3">
        <v>0.65625</v>
      </c>
      <c r="L21" s="3">
        <v>0.53125</v>
      </c>
      <c r="M21" s="3">
        <v>0.75</v>
      </c>
      <c r="N21" s="4" t="s">
        <v>34</v>
      </c>
      <c r="O21" s="1" t="s">
        <v>25</v>
      </c>
      <c r="P21">
        <f t="shared" si="1"/>
        <v>0</v>
      </c>
    </row>
    <row r="22" spans="1:16" x14ac:dyDescent="0.3">
      <c r="A22" s="6" t="s">
        <v>63</v>
      </c>
      <c r="B22" s="1" t="s">
        <v>18</v>
      </c>
      <c r="C22" s="1" t="s">
        <v>18</v>
      </c>
      <c r="D22" s="1" t="s">
        <v>18</v>
      </c>
      <c r="E22" s="5" t="s">
        <v>22</v>
      </c>
      <c r="F22" s="5" t="s">
        <v>22</v>
      </c>
      <c r="G22" s="5" t="s">
        <v>22</v>
      </c>
      <c r="H22" s="5" t="s">
        <v>22</v>
      </c>
      <c r="I22" s="2" t="str">
        <f t="shared" si="0"/>
        <v>Mon - Tue - Wed</v>
      </c>
      <c r="J22" s="3">
        <v>0.625</v>
      </c>
      <c r="K22" s="3">
        <v>0.71875</v>
      </c>
      <c r="L22" s="3">
        <v>0.8125</v>
      </c>
      <c r="M22" s="3">
        <v>0.9375</v>
      </c>
      <c r="N22" s="4" t="s">
        <v>43</v>
      </c>
      <c r="O22" s="5" t="s">
        <v>22</v>
      </c>
      <c r="P22">
        <f t="shared" si="1"/>
        <v>1</v>
      </c>
    </row>
    <row r="23" spans="1:16" x14ac:dyDescent="0.3">
      <c r="A23" s="6" t="s">
        <v>64</v>
      </c>
      <c r="B23" s="1" t="s">
        <v>65</v>
      </c>
      <c r="C23" s="1" t="s">
        <v>65</v>
      </c>
      <c r="D23" s="1" t="s">
        <v>18</v>
      </c>
      <c r="E23" s="1" t="s">
        <v>18</v>
      </c>
      <c r="F23" s="1" t="s">
        <v>65</v>
      </c>
      <c r="G23" s="1" t="s">
        <v>18</v>
      </c>
      <c r="H23" s="1" t="s">
        <v>65</v>
      </c>
      <c r="I23" s="2" t="str">
        <f t="shared" si="0"/>
        <v>Wed - Thu - Sat</v>
      </c>
      <c r="J23" s="3">
        <v>0.89583333333333337</v>
      </c>
      <c r="K23" s="3">
        <v>0.10416666666666667</v>
      </c>
      <c r="L23" s="3">
        <v>0.97916666666666663</v>
      </c>
      <c r="M23" s="3">
        <v>0.1875</v>
      </c>
      <c r="N23" s="4" t="s">
        <v>43</v>
      </c>
      <c r="O23" s="1" t="s">
        <v>65</v>
      </c>
      <c r="P23">
        <f t="shared" si="1"/>
        <v>1</v>
      </c>
    </row>
    <row r="24" spans="1:16" x14ac:dyDescent="0.3">
      <c r="A24" s="6" t="s">
        <v>67</v>
      </c>
      <c r="B24" s="1" t="s">
        <v>68</v>
      </c>
      <c r="C24" s="1" t="s">
        <v>68</v>
      </c>
      <c r="D24" s="1" t="s">
        <v>68</v>
      </c>
      <c r="E24" s="1" t="s">
        <v>68</v>
      </c>
      <c r="F24" s="1" t="s">
        <v>18</v>
      </c>
      <c r="G24" s="1" t="s">
        <v>18</v>
      </c>
      <c r="H24" s="1" t="s">
        <v>18</v>
      </c>
      <c r="I24" s="2" t="str">
        <f t="shared" si="0"/>
        <v>Fri - Sat - Sun</v>
      </c>
      <c r="J24" s="3">
        <v>0.34375</v>
      </c>
      <c r="K24" s="3">
        <v>0.5625</v>
      </c>
      <c r="L24" s="3">
        <v>0.4375</v>
      </c>
      <c r="M24" s="3">
        <v>0.65625</v>
      </c>
      <c r="N24" s="7" t="s">
        <v>20</v>
      </c>
      <c r="O24" s="1" t="s">
        <v>68</v>
      </c>
      <c r="P24">
        <f t="shared" si="1"/>
        <v>0</v>
      </c>
    </row>
    <row r="25" spans="1:16" x14ac:dyDescent="0.3">
      <c r="A25" s="6" t="s">
        <v>69</v>
      </c>
      <c r="B25" s="1" t="s">
        <v>70</v>
      </c>
      <c r="C25" s="1" t="s">
        <v>70</v>
      </c>
      <c r="D25" s="1" t="s">
        <v>70</v>
      </c>
      <c r="E25" s="1" t="s">
        <v>18</v>
      </c>
      <c r="F25" s="1" t="s">
        <v>18</v>
      </c>
      <c r="G25" s="1" t="s">
        <v>18</v>
      </c>
      <c r="H25" s="1" t="s">
        <v>70</v>
      </c>
      <c r="I25" s="2" t="str">
        <f t="shared" si="0"/>
        <v>Thu - Fri - Sat</v>
      </c>
      <c r="J25" s="3">
        <v>0.30208333333333331</v>
      </c>
      <c r="K25" s="3">
        <v>0.54166666666666663</v>
      </c>
      <c r="L25" s="3">
        <v>0.41666666666666669</v>
      </c>
      <c r="M25" s="3">
        <v>0.64583333333333337</v>
      </c>
      <c r="N25" s="4" t="s">
        <v>43</v>
      </c>
      <c r="O25" s="1" t="s">
        <v>70</v>
      </c>
      <c r="P25">
        <f t="shared" si="1"/>
        <v>0</v>
      </c>
    </row>
    <row r="26" spans="1:16" x14ac:dyDescent="0.3">
      <c r="A26" s="6" t="s">
        <v>71</v>
      </c>
      <c r="B26" s="1" t="s">
        <v>72</v>
      </c>
      <c r="C26" s="1" t="s">
        <v>72</v>
      </c>
      <c r="D26" s="1" t="s">
        <v>72</v>
      </c>
      <c r="E26" s="1" t="s">
        <v>72</v>
      </c>
      <c r="F26" s="1" t="s">
        <v>18</v>
      </c>
      <c r="G26" s="1" t="s">
        <v>18</v>
      </c>
      <c r="H26" s="1" t="s">
        <v>18</v>
      </c>
      <c r="I26" s="2" t="str">
        <f t="shared" si="0"/>
        <v>Fri - Sat - Sun</v>
      </c>
      <c r="J26" s="3">
        <v>0.51041666666666663</v>
      </c>
      <c r="K26" s="3">
        <v>0.59375</v>
      </c>
      <c r="L26" s="3">
        <v>0.6875</v>
      </c>
      <c r="M26" s="3">
        <v>0.8125</v>
      </c>
      <c r="N26" s="4" t="s">
        <v>34</v>
      </c>
      <c r="O26" s="1" t="s">
        <v>72</v>
      </c>
      <c r="P26">
        <f t="shared" si="1"/>
        <v>0</v>
      </c>
    </row>
    <row r="27" spans="1:16" x14ac:dyDescent="0.3">
      <c r="A27" s="6" t="s">
        <v>73</v>
      </c>
      <c r="B27" s="1" t="s">
        <v>25</v>
      </c>
      <c r="C27" s="1" t="s">
        <v>25</v>
      </c>
      <c r="D27" s="1" t="s">
        <v>18</v>
      </c>
      <c r="E27" s="1" t="s">
        <v>25</v>
      </c>
      <c r="F27" s="1" t="s">
        <v>25</v>
      </c>
      <c r="G27" s="1" t="s">
        <v>18</v>
      </c>
      <c r="H27" s="1" t="s">
        <v>18</v>
      </c>
      <c r="I27" s="2" t="str">
        <f t="shared" si="0"/>
        <v>Wed - Sat - Sun</v>
      </c>
      <c r="J27" s="3">
        <v>0.42708333333333331</v>
      </c>
      <c r="K27" s="3">
        <v>0.65625</v>
      </c>
      <c r="L27" s="3">
        <v>0.53125</v>
      </c>
      <c r="M27" s="3">
        <v>0.75</v>
      </c>
      <c r="N27" s="4" t="s">
        <v>20</v>
      </c>
      <c r="O27" s="1" t="s">
        <v>25</v>
      </c>
      <c r="P27">
        <f t="shared" si="1"/>
        <v>0</v>
      </c>
    </row>
    <row r="28" spans="1:16" x14ac:dyDescent="0.3">
      <c r="A28" s="6" t="s">
        <v>74</v>
      </c>
      <c r="B28" s="1" t="s">
        <v>59</v>
      </c>
      <c r="C28" s="1" t="s">
        <v>59</v>
      </c>
      <c r="D28" s="1" t="s">
        <v>59</v>
      </c>
      <c r="E28" s="1" t="s">
        <v>59</v>
      </c>
      <c r="F28" s="1" t="s">
        <v>18</v>
      </c>
      <c r="G28" s="1" t="s">
        <v>18</v>
      </c>
      <c r="H28" s="1" t="s">
        <v>18</v>
      </c>
      <c r="I28" s="2" t="str">
        <f t="shared" si="0"/>
        <v>Fri - Sat - Sun</v>
      </c>
      <c r="J28" s="3">
        <v>0.54166666666666663</v>
      </c>
      <c r="K28" s="3">
        <v>0.76041666666666663</v>
      </c>
      <c r="L28" s="3">
        <v>0.63541666666666663</v>
      </c>
      <c r="M28" s="3">
        <v>0.86458333333333337</v>
      </c>
      <c r="N28" s="4" t="s">
        <v>20</v>
      </c>
      <c r="O28" s="1" t="s">
        <v>59</v>
      </c>
      <c r="P28">
        <f t="shared" si="1"/>
        <v>0</v>
      </c>
    </row>
    <row r="29" spans="1:16" x14ac:dyDescent="0.3">
      <c r="A29" s="6" t="s">
        <v>75</v>
      </c>
      <c r="B29" s="1" t="s">
        <v>76</v>
      </c>
      <c r="C29" s="1" t="s">
        <v>76</v>
      </c>
      <c r="D29" s="1" t="s">
        <v>76</v>
      </c>
      <c r="E29" s="1" t="s">
        <v>18</v>
      </c>
      <c r="F29" s="1" t="s">
        <v>18</v>
      </c>
      <c r="G29" s="1" t="s">
        <v>18</v>
      </c>
      <c r="H29" s="1" t="s">
        <v>76</v>
      </c>
      <c r="I29" s="2" t="str">
        <f t="shared" si="0"/>
        <v>Thu - Fri - Sat</v>
      </c>
      <c r="J29" s="3">
        <v>0.15625</v>
      </c>
      <c r="K29" s="3">
        <v>0.375</v>
      </c>
      <c r="L29" s="3">
        <v>0.25</v>
      </c>
      <c r="M29" s="3">
        <v>0.47916666666666669</v>
      </c>
      <c r="N29" s="4" t="s">
        <v>43</v>
      </c>
      <c r="O29" s="1" t="s">
        <v>76</v>
      </c>
      <c r="P29">
        <f t="shared" si="1"/>
        <v>0</v>
      </c>
    </row>
    <row r="30" spans="1:16" x14ac:dyDescent="0.3">
      <c r="A30" s="6" t="s">
        <v>77</v>
      </c>
      <c r="B30" s="5" t="s">
        <v>78</v>
      </c>
      <c r="C30" s="5" t="s">
        <v>78</v>
      </c>
      <c r="D30" s="1" t="s">
        <v>18</v>
      </c>
      <c r="E30" s="5" t="s">
        <v>78</v>
      </c>
      <c r="F30" s="5" t="s">
        <v>78</v>
      </c>
      <c r="G30" s="1" t="s">
        <v>18</v>
      </c>
      <c r="H30" s="1" t="s">
        <v>18</v>
      </c>
      <c r="I30" s="2" t="str">
        <f t="shared" si="0"/>
        <v>Wed - Sat - Sun</v>
      </c>
      <c r="J30" s="3">
        <v>0.16666666666666666</v>
      </c>
      <c r="K30" s="3">
        <v>0.26041666666666669</v>
      </c>
      <c r="L30" s="3">
        <v>4.1666666666666664E-2</v>
      </c>
      <c r="M30" s="3">
        <v>0.33333333333333331</v>
      </c>
      <c r="N30" s="4" t="s">
        <v>27</v>
      </c>
      <c r="O30" s="5" t="s">
        <v>78</v>
      </c>
      <c r="P30">
        <f t="shared" si="1"/>
        <v>1</v>
      </c>
    </row>
    <row r="31" spans="1:16" x14ac:dyDescent="0.3">
      <c r="A31" s="6" t="s">
        <v>79</v>
      </c>
      <c r="B31" s="1" t="s">
        <v>25</v>
      </c>
      <c r="C31" s="1" t="s">
        <v>18</v>
      </c>
      <c r="D31" s="1" t="s">
        <v>25</v>
      </c>
      <c r="E31" s="1" t="s">
        <v>25</v>
      </c>
      <c r="F31" s="1" t="s">
        <v>25</v>
      </c>
      <c r="G31" s="1" t="s">
        <v>18</v>
      </c>
      <c r="H31" s="1" t="s">
        <v>18</v>
      </c>
      <c r="I31" s="2" t="str">
        <f t="shared" si="0"/>
        <v>Tue - Sat - Sun</v>
      </c>
      <c r="J31" s="3">
        <v>0.41666666666666669</v>
      </c>
      <c r="K31" s="3">
        <v>0.64583333333333337</v>
      </c>
      <c r="L31" s="3">
        <v>0.5</v>
      </c>
      <c r="M31" s="3">
        <v>0.75</v>
      </c>
      <c r="N31" s="4" t="s">
        <v>27</v>
      </c>
      <c r="O31" s="1" t="s">
        <v>25</v>
      </c>
      <c r="P31">
        <f t="shared" si="1"/>
        <v>0</v>
      </c>
    </row>
    <row r="32" spans="1:16" x14ac:dyDescent="0.3">
      <c r="A32" s="6" t="s">
        <v>80</v>
      </c>
      <c r="B32" s="1" t="s">
        <v>18</v>
      </c>
      <c r="C32" s="1" t="s">
        <v>18</v>
      </c>
      <c r="D32" s="1" t="s">
        <v>81</v>
      </c>
      <c r="E32" s="1" t="s">
        <v>81</v>
      </c>
      <c r="F32" s="1" t="s">
        <v>81</v>
      </c>
      <c r="G32" s="1" t="s">
        <v>81</v>
      </c>
      <c r="H32" s="1" t="s">
        <v>18</v>
      </c>
      <c r="I32" s="2" t="str">
        <f t="shared" si="0"/>
        <v>Mon - Tue - Sun</v>
      </c>
      <c r="J32" s="3">
        <v>0.58333333333333337</v>
      </c>
      <c r="K32" s="3">
        <v>0.8125</v>
      </c>
      <c r="L32" s="3">
        <v>0.67708333333333337</v>
      </c>
      <c r="M32" s="3">
        <v>0.91666666666666663</v>
      </c>
      <c r="N32" s="4" t="s">
        <v>27</v>
      </c>
      <c r="O32" s="1" t="s">
        <v>81</v>
      </c>
      <c r="P32">
        <f t="shared" si="1"/>
        <v>1</v>
      </c>
    </row>
    <row r="33" spans="1:102" x14ac:dyDescent="0.3">
      <c r="A33" s="6" t="s">
        <v>82</v>
      </c>
      <c r="B33" s="1" t="s">
        <v>18</v>
      </c>
      <c r="C33" s="1" t="s">
        <v>70</v>
      </c>
      <c r="D33" s="1" t="s">
        <v>70</v>
      </c>
      <c r="E33" s="1" t="s">
        <v>70</v>
      </c>
      <c r="F33" s="1" t="s">
        <v>70</v>
      </c>
      <c r="G33" s="1" t="s">
        <v>18</v>
      </c>
      <c r="H33" s="1" t="s">
        <v>18</v>
      </c>
      <c r="I33" s="2" t="str">
        <f t="shared" si="0"/>
        <v>Mon - Sat - Sun</v>
      </c>
      <c r="J33" s="3">
        <v>0.30208333333333331</v>
      </c>
      <c r="K33" s="3">
        <v>0.46875</v>
      </c>
      <c r="L33" s="3">
        <v>0.38541666666666669</v>
      </c>
      <c r="M33" s="3">
        <v>0.58333333333333337</v>
      </c>
      <c r="N33" s="4" t="s">
        <v>27</v>
      </c>
      <c r="O33" s="1" t="s">
        <v>70</v>
      </c>
      <c r="P33">
        <f t="shared" si="1"/>
        <v>0</v>
      </c>
    </row>
    <row r="34" spans="1:102" s="14" customFormat="1" x14ac:dyDescent="0.3">
      <c r="A34" s="6" t="s">
        <v>83</v>
      </c>
      <c r="B34" s="1" t="s">
        <v>84</v>
      </c>
      <c r="C34" s="1" t="s">
        <v>84</v>
      </c>
      <c r="D34" s="1" t="s">
        <v>18</v>
      </c>
      <c r="E34" s="1" t="s">
        <v>18</v>
      </c>
      <c r="F34" s="1" t="s">
        <v>18</v>
      </c>
      <c r="G34" s="1" t="s">
        <v>84</v>
      </c>
      <c r="H34" s="1" t="s">
        <v>84</v>
      </c>
      <c r="I34" s="2" t="str">
        <f t="shared" si="0"/>
        <v>Wed - Thu - Fri</v>
      </c>
      <c r="J34" s="3">
        <v>0.95833333333333337</v>
      </c>
      <c r="K34" s="3">
        <v>6.25E-2</v>
      </c>
      <c r="L34" s="3">
        <v>0.16666666666666666</v>
      </c>
      <c r="M34" s="3">
        <v>0.29166666666666669</v>
      </c>
      <c r="N34" s="4" t="s">
        <v>38</v>
      </c>
      <c r="O34" s="1" t="s">
        <v>84</v>
      </c>
      <c r="P34">
        <f t="shared" ref="P34:P65" si="2">IF(O34="OFF",0,IF(VALUE(LEFT(O34,2))&lt;12,0,1))</f>
        <v>1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x14ac:dyDescent="0.3">
      <c r="A35" s="46" t="s">
        <v>86</v>
      </c>
      <c r="B35" s="1" t="s">
        <v>18</v>
      </c>
      <c r="C35" s="1" t="s">
        <v>18</v>
      </c>
      <c r="D35" s="1" t="s">
        <v>87</v>
      </c>
      <c r="E35" s="1" t="s">
        <v>87</v>
      </c>
      <c r="F35" s="1" t="s">
        <v>87</v>
      </c>
      <c r="G35" s="1" t="s">
        <v>87</v>
      </c>
      <c r="H35" s="1" t="s">
        <v>18</v>
      </c>
      <c r="I35" s="2" t="str">
        <f t="shared" si="0"/>
        <v>Mon - Tue - Sun</v>
      </c>
      <c r="J35" s="3">
        <v>0.34375</v>
      </c>
      <c r="K35" s="3">
        <v>0.16666666666666666</v>
      </c>
      <c r="L35" s="3">
        <v>0.22916666666666666</v>
      </c>
      <c r="M35" s="3">
        <v>0.42708333333333331</v>
      </c>
      <c r="N35" s="4" t="s">
        <v>27</v>
      </c>
      <c r="O35" s="1" t="s">
        <v>87</v>
      </c>
      <c r="P35">
        <f t="shared" si="2"/>
        <v>0</v>
      </c>
    </row>
    <row r="36" spans="1:102" x14ac:dyDescent="0.3">
      <c r="A36" s="6" t="s">
        <v>88</v>
      </c>
      <c r="B36" s="1" t="s">
        <v>68</v>
      </c>
      <c r="C36" s="1" t="s">
        <v>68</v>
      </c>
      <c r="D36" s="1" t="s">
        <v>68</v>
      </c>
      <c r="E36" s="1" t="s">
        <v>68</v>
      </c>
      <c r="F36" s="1" t="s">
        <v>18</v>
      </c>
      <c r="G36" s="1" t="s">
        <v>18</v>
      </c>
      <c r="H36" s="1" t="s">
        <v>18</v>
      </c>
      <c r="I36" s="2" t="str">
        <f t="shared" si="0"/>
        <v>Fri - Sat - Sun</v>
      </c>
      <c r="J36" s="3">
        <v>0.33333333333333331</v>
      </c>
      <c r="K36" s="3">
        <v>0.55208333333333337</v>
      </c>
      <c r="L36" s="3">
        <v>0.42708333333333331</v>
      </c>
      <c r="M36" s="3">
        <v>0.64583333333333337</v>
      </c>
      <c r="N36" s="4" t="s">
        <v>20</v>
      </c>
      <c r="O36" s="1" t="s">
        <v>68</v>
      </c>
      <c r="P36">
        <f t="shared" si="2"/>
        <v>0</v>
      </c>
    </row>
    <row r="37" spans="1:102" x14ac:dyDescent="0.3">
      <c r="A37" s="6" t="s">
        <v>89</v>
      </c>
      <c r="B37" s="1" t="s">
        <v>90</v>
      </c>
      <c r="C37" s="1" t="s">
        <v>18</v>
      </c>
      <c r="D37" s="1" t="s">
        <v>18</v>
      </c>
      <c r="E37" s="1" t="s">
        <v>90</v>
      </c>
      <c r="F37" s="1" t="s">
        <v>90</v>
      </c>
      <c r="G37" s="1" t="s">
        <v>18</v>
      </c>
      <c r="H37" s="1" t="s">
        <v>90</v>
      </c>
      <c r="I37" s="2" t="str">
        <f t="shared" si="0"/>
        <v>Tue - Wed - Sat</v>
      </c>
      <c r="J37" s="3">
        <v>0.125</v>
      </c>
      <c r="K37" s="3">
        <v>0.21875</v>
      </c>
      <c r="L37" s="3">
        <v>0</v>
      </c>
      <c r="M37" s="3">
        <v>0.29166666666666669</v>
      </c>
      <c r="N37" s="4" t="s">
        <v>20</v>
      </c>
      <c r="O37" s="1" t="s">
        <v>90</v>
      </c>
      <c r="P37">
        <f t="shared" si="2"/>
        <v>1</v>
      </c>
    </row>
    <row r="38" spans="1:102" x14ac:dyDescent="0.3">
      <c r="A38" s="6" t="s">
        <v>91</v>
      </c>
      <c r="B38" s="1" t="s">
        <v>22</v>
      </c>
      <c r="C38" s="1" t="s">
        <v>22</v>
      </c>
      <c r="D38" s="1" t="s">
        <v>22</v>
      </c>
      <c r="E38" s="1" t="s">
        <v>22</v>
      </c>
      <c r="F38" s="1" t="s">
        <v>18</v>
      </c>
      <c r="G38" s="1" t="s">
        <v>18</v>
      </c>
      <c r="H38" s="1" t="s">
        <v>18</v>
      </c>
      <c r="I38" s="2" t="str">
        <f t="shared" si="0"/>
        <v>Fri - Sat - Sun</v>
      </c>
      <c r="J38" s="3">
        <v>0.625</v>
      </c>
      <c r="K38" s="3">
        <v>0.875</v>
      </c>
      <c r="L38" s="3">
        <v>0.75</v>
      </c>
      <c r="M38" s="3">
        <v>0.97916666666666663</v>
      </c>
      <c r="N38" s="4" t="s">
        <v>27</v>
      </c>
      <c r="O38" s="1" t="s">
        <v>22</v>
      </c>
      <c r="P38">
        <f t="shared" si="2"/>
        <v>1</v>
      </c>
    </row>
    <row r="39" spans="1:102" x14ac:dyDescent="0.3">
      <c r="A39" s="6" t="s">
        <v>92</v>
      </c>
      <c r="B39" s="1" t="s">
        <v>18</v>
      </c>
      <c r="C39" s="1" t="s">
        <v>18</v>
      </c>
      <c r="D39" s="1" t="s">
        <v>68</v>
      </c>
      <c r="E39" s="1" t="s">
        <v>68</v>
      </c>
      <c r="F39" s="1" t="s">
        <v>68</v>
      </c>
      <c r="G39" s="1" t="s">
        <v>68</v>
      </c>
      <c r="H39" s="1" t="s">
        <v>18</v>
      </c>
      <c r="I39" s="2" t="str">
        <f t="shared" si="0"/>
        <v>Mon - Tue - Sun</v>
      </c>
      <c r="J39" s="3">
        <v>0.34375</v>
      </c>
      <c r="K39" s="3">
        <v>0.53125</v>
      </c>
      <c r="L39" s="3">
        <v>0.41666666666666669</v>
      </c>
      <c r="M39" s="3">
        <v>0.625</v>
      </c>
      <c r="N39" s="4" t="s">
        <v>43</v>
      </c>
      <c r="O39" s="1" t="s">
        <v>68</v>
      </c>
      <c r="P39">
        <f t="shared" si="2"/>
        <v>0</v>
      </c>
    </row>
    <row r="40" spans="1:102" x14ac:dyDescent="0.3">
      <c r="A40" s="6" t="s">
        <v>93</v>
      </c>
      <c r="B40" s="1" t="s">
        <v>36</v>
      </c>
      <c r="C40" s="1" t="s">
        <v>36</v>
      </c>
      <c r="D40" s="1" t="s">
        <v>36</v>
      </c>
      <c r="E40" s="1" t="s">
        <v>18</v>
      </c>
      <c r="F40" s="1" t="s">
        <v>36</v>
      </c>
      <c r="G40" s="1" t="s">
        <v>18</v>
      </c>
      <c r="H40" s="1" t="s">
        <v>18</v>
      </c>
      <c r="I40" s="2" t="str">
        <f t="shared" si="0"/>
        <v>Thu - Sat - Sun</v>
      </c>
      <c r="J40" s="3">
        <v>0.45833333333333331</v>
      </c>
      <c r="K40" s="3">
        <v>0.55208333333333337</v>
      </c>
      <c r="L40" s="3">
        <v>0.625</v>
      </c>
      <c r="M40" s="3">
        <v>0.77083333333333337</v>
      </c>
      <c r="N40" s="4" t="s">
        <v>38</v>
      </c>
      <c r="O40" s="1" t="s">
        <v>36</v>
      </c>
      <c r="P40">
        <f t="shared" si="2"/>
        <v>0</v>
      </c>
    </row>
    <row r="41" spans="1:102" x14ac:dyDescent="0.3">
      <c r="A41" s="6" t="s">
        <v>94</v>
      </c>
      <c r="B41" s="1" t="s">
        <v>25</v>
      </c>
      <c r="C41" s="1" t="s">
        <v>18</v>
      </c>
      <c r="D41" s="1" t="s">
        <v>25</v>
      </c>
      <c r="E41" s="1" t="s">
        <v>25</v>
      </c>
      <c r="F41" s="1" t="s">
        <v>25</v>
      </c>
      <c r="G41" s="1" t="s">
        <v>18</v>
      </c>
      <c r="H41" s="1" t="s">
        <v>18</v>
      </c>
      <c r="I41" s="2" t="str">
        <f t="shared" si="0"/>
        <v>Tue - Sat - Sun</v>
      </c>
      <c r="J41" s="3">
        <v>0.42708333333333331</v>
      </c>
      <c r="K41" s="3">
        <v>0.63541666666666663</v>
      </c>
      <c r="L41" s="3">
        <v>0.51041666666666663</v>
      </c>
      <c r="M41" s="3">
        <v>0.73958333333333337</v>
      </c>
      <c r="N41" s="4" t="s">
        <v>20</v>
      </c>
      <c r="O41" s="1" t="s">
        <v>25</v>
      </c>
      <c r="P41">
        <f t="shared" si="2"/>
        <v>0</v>
      </c>
    </row>
    <row r="42" spans="1:102" x14ac:dyDescent="0.3">
      <c r="A42" s="6" t="s">
        <v>95</v>
      </c>
      <c r="B42" s="1" t="s">
        <v>96</v>
      </c>
      <c r="C42" s="1" t="s">
        <v>96</v>
      </c>
      <c r="D42" s="1" t="s">
        <v>96</v>
      </c>
      <c r="E42" s="1" t="s">
        <v>18</v>
      </c>
      <c r="F42" s="1" t="s">
        <v>18</v>
      </c>
      <c r="G42" s="1" t="s">
        <v>96</v>
      </c>
      <c r="H42" s="1" t="s">
        <v>18</v>
      </c>
      <c r="I42" s="2" t="str">
        <f t="shared" si="0"/>
        <v>Thu - Fri - Sun</v>
      </c>
      <c r="J42" s="3">
        <v>5.2083333333333336E-2</v>
      </c>
      <c r="K42" s="3">
        <v>0.27083333333333331</v>
      </c>
      <c r="L42" s="3">
        <v>0.125</v>
      </c>
      <c r="M42" s="3">
        <v>0.35416666666666669</v>
      </c>
      <c r="N42" s="4" t="s">
        <v>43</v>
      </c>
      <c r="O42" s="1" t="s">
        <v>96</v>
      </c>
      <c r="P42">
        <f t="shared" si="2"/>
        <v>1</v>
      </c>
    </row>
    <row r="43" spans="1:102" x14ac:dyDescent="0.3">
      <c r="A43" s="6" t="s">
        <v>98</v>
      </c>
      <c r="B43" s="1" t="s">
        <v>25</v>
      </c>
      <c r="C43" s="1" t="s">
        <v>25</v>
      </c>
      <c r="D43" s="1" t="s">
        <v>18</v>
      </c>
      <c r="E43" s="1" t="s">
        <v>25</v>
      </c>
      <c r="F43" s="1" t="s">
        <v>25</v>
      </c>
      <c r="G43" s="1" t="s">
        <v>18</v>
      </c>
      <c r="H43" s="1" t="s">
        <v>18</v>
      </c>
      <c r="I43" s="2" t="str">
        <f t="shared" si="0"/>
        <v>Wed - Sat - Sun</v>
      </c>
      <c r="J43" s="3">
        <v>0.4375</v>
      </c>
      <c r="K43" s="3">
        <v>0.6875</v>
      </c>
      <c r="L43" s="3">
        <v>0.5625</v>
      </c>
      <c r="M43" s="3">
        <v>0.75</v>
      </c>
      <c r="N43" s="4" t="s">
        <v>34</v>
      </c>
      <c r="O43" s="1" t="s">
        <v>25</v>
      </c>
      <c r="P43">
        <f t="shared" si="2"/>
        <v>0</v>
      </c>
    </row>
    <row r="44" spans="1:102" x14ac:dyDescent="0.3">
      <c r="A44" s="6" t="s">
        <v>99</v>
      </c>
      <c r="B44" s="1" t="s">
        <v>18</v>
      </c>
      <c r="C44" s="1" t="s">
        <v>41</v>
      </c>
      <c r="D44" s="1" t="s">
        <v>41</v>
      </c>
      <c r="E44" s="1" t="s">
        <v>41</v>
      </c>
      <c r="F44" s="1" t="s">
        <v>41</v>
      </c>
      <c r="G44" s="1" t="s">
        <v>18</v>
      </c>
      <c r="H44" s="1" t="s">
        <v>18</v>
      </c>
      <c r="I44" s="2" t="str">
        <f t="shared" si="0"/>
        <v>Mon - Sat - Sun</v>
      </c>
      <c r="J44" s="3">
        <v>0.8125</v>
      </c>
      <c r="K44" s="3">
        <v>0</v>
      </c>
      <c r="L44" s="3">
        <v>0.90625</v>
      </c>
      <c r="M44" s="3">
        <v>0.10416666666666667</v>
      </c>
      <c r="N44" s="4" t="s">
        <v>27</v>
      </c>
      <c r="O44" s="1" t="s">
        <v>41</v>
      </c>
      <c r="P44">
        <f t="shared" si="2"/>
        <v>1</v>
      </c>
    </row>
    <row r="45" spans="1:102" x14ac:dyDescent="0.3">
      <c r="A45" s="6" t="s">
        <v>100</v>
      </c>
      <c r="B45" s="1" t="s">
        <v>25</v>
      </c>
      <c r="C45" s="1" t="s">
        <v>25</v>
      </c>
      <c r="D45" s="1" t="s">
        <v>18</v>
      </c>
      <c r="E45" s="1" t="s">
        <v>25</v>
      </c>
      <c r="F45" s="1" t="s">
        <v>25</v>
      </c>
      <c r="G45" s="1" t="s">
        <v>18</v>
      </c>
      <c r="H45" s="1" t="s">
        <v>18</v>
      </c>
      <c r="I45" s="2" t="str">
        <f t="shared" si="0"/>
        <v>Wed - Sat - Sun</v>
      </c>
      <c r="J45" s="3">
        <v>0.41666666666666669</v>
      </c>
      <c r="K45" s="3">
        <v>0.625</v>
      </c>
      <c r="L45" s="3">
        <v>0.5</v>
      </c>
      <c r="M45" s="3">
        <v>0.71875</v>
      </c>
      <c r="N45" s="4" t="s">
        <v>20</v>
      </c>
      <c r="O45" s="1" t="s">
        <v>25</v>
      </c>
      <c r="P45">
        <f t="shared" si="2"/>
        <v>0</v>
      </c>
    </row>
    <row r="46" spans="1:102" x14ac:dyDescent="0.3">
      <c r="A46" s="6" t="s">
        <v>101</v>
      </c>
      <c r="B46" s="1" t="s">
        <v>36</v>
      </c>
      <c r="C46" s="1" t="s">
        <v>36</v>
      </c>
      <c r="D46" s="1" t="s">
        <v>18</v>
      </c>
      <c r="E46" s="1" t="s">
        <v>36</v>
      </c>
      <c r="F46" s="1" t="s">
        <v>36</v>
      </c>
      <c r="G46" s="1" t="s">
        <v>18</v>
      </c>
      <c r="H46" s="1" t="s">
        <v>18</v>
      </c>
      <c r="I46" s="2" t="str">
        <f t="shared" si="0"/>
        <v>Wed - Sat - Sun</v>
      </c>
      <c r="J46" s="3">
        <v>0.48958333333333331</v>
      </c>
      <c r="K46" s="3">
        <v>0.69791666666666663</v>
      </c>
      <c r="L46" s="3">
        <v>0.57291666666666663</v>
      </c>
      <c r="M46" s="3">
        <v>0.78125</v>
      </c>
      <c r="N46" s="4" t="s">
        <v>34</v>
      </c>
      <c r="O46" s="1" t="s">
        <v>36</v>
      </c>
      <c r="P46">
        <f t="shared" si="2"/>
        <v>0</v>
      </c>
    </row>
    <row r="47" spans="1:102" x14ac:dyDescent="0.3">
      <c r="A47" s="6" t="s">
        <v>102</v>
      </c>
      <c r="B47" s="1" t="s">
        <v>36</v>
      </c>
      <c r="C47" s="1" t="s">
        <v>36</v>
      </c>
      <c r="D47" s="1" t="s">
        <v>36</v>
      </c>
      <c r="E47" s="1" t="s">
        <v>36</v>
      </c>
      <c r="F47" s="1" t="s">
        <v>18</v>
      </c>
      <c r="G47" s="1" t="s">
        <v>18</v>
      </c>
      <c r="H47" s="1" t="s">
        <v>18</v>
      </c>
      <c r="I47" s="2" t="str">
        <f t="shared" si="0"/>
        <v>Fri - Sat - Sun</v>
      </c>
      <c r="J47" s="3">
        <v>0.45833333333333331</v>
      </c>
      <c r="K47" s="3">
        <v>0.67708333333333337</v>
      </c>
      <c r="L47" s="3">
        <v>0.55208333333333337</v>
      </c>
      <c r="M47" s="3">
        <v>0.77083333333333337</v>
      </c>
      <c r="N47" s="4" t="s">
        <v>38</v>
      </c>
      <c r="O47" s="1" t="s">
        <v>36</v>
      </c>
      <c r="P47">
        <f t="shared" si="2"/>
        <v>0</v>
      </c>
    </row>
    <row r="48" spans="1:102" x14ac:dyDescent="0.3">
      <c r="A48" s="6" t="s">
        <v>103</v>
      </c>
      <c r="B48" s="1" t="s">
        <v>18</v>
      </c>
      <c r="C48" s="1" t="s">
        <v>18</v>
      </c>
      <c r="D48" s="1" t="s">
        <v>104</v>
      </c>
      <c r="E48" s="1" t="s">
        <v>104</v>
      </c>
      <c r="F48" s="1" t="s">
        <v>104</v>
      </c>
      <c r="G48" s="1" t="s">
        <v>104</v>
      </c>
      <c r="H48" s="1" t="s">
        <v>18</v>
      </c>
      <c r="I48" s="2" t="str">
        <f t="shared" si="0"/>
        <v>Mon - Tue - Sun</v>
      </c>
      <c r="J48" s="3">
        <v>0.85416666666666663</v>
      </c>
      <c r="K48" s="3">
        <v>7.2916666666666671E-2</v>
      </c>
      <c r="L48" s="3">
        <v>0.94791666666666663</v>
      </c>
      <c r="M48" s="3">
        <v>0.17708333333333334</v>
      </c>
      <c r="N48" s="4" t="s">
        <v>43</v>
      </c>
      <c r="O48" s="1" t="s">
        <v>104</v>
      </c>
      <c r="P48">
        <f t="shared" si="2"/>
        <v>1</v>
      </c>
    </row>
    <row r="49" spans="1:16" x14ac:dyDescent="0.3">
      <c r="A49" s="6" t="s">
        <v>106</v>
      </c>
      <c r="B49" s="1" t="s">
        <v>36</v>
      </c>
      <c r="C49" s="1" t="s">
        <v>36</v>
      </c>
      <c r="D49" s="1" t="s">
        <v>18</v>
      </c>
      <c r="E49" s="1" t="s">
        <v>36</v>
      </c>
      <c r="F49" s="1" t="s">
        <v>36</v>
      </c>
      <c r="G49" s="1" t="s">
        <v>18</v>
      </c>
      <c r="H49" s="1" t="s">
        <v>18</v>
      </c>
      <c r="I49" s="2" t="str">
        <f t="shared" si="0"/>
        <v>Wed - Sat - Sun</v>
      </c>
      <c r="J49" s="3">
        <v>0.47916666666666669</v>
      </c>
      <c r="K49" s="3">
        <v>0.67708333333333337</v>
      </c>
      <c r="L49" s="3">
        <v>0.57291666666666663</v>
      </c>
      <c r="M49" s="3">
        <v>0.78125</v>
      </c>
      <c r="N49" s="4" t="s">
        <v>20</v>
      </c>
      <c r="O49" s="1" t="s">
        <v>36</v>
      </c>
      <c r="P49">
        <f t="shared" si="2"/>
        <v>0</v>
      </c>
    </row>
    <row r="50" spans="1:16" x14ac:dyDescent="0.3">
      <c r="A50" s="6" t="s">
        <v>107</v>
      </c>
      <c r="B50" s="1" t="s">
        <v>18</v>
      </c>
      <c r="C50" s="1" t="s">
        <v>36</v>
      </c>
      <c r="D50" s="1" t="s">
        <v>36</v>
      </c>
      <c r="E50" s="1" t="s">
        <v>36</v>
      </c>
      <c r="F50" s="1" t="s">
        <v>36</v>
      </c>
      <c r="G50" s="1" t="s">
        <v>18</v>
      </c>
      <c r="H50" s="1" t="s">
        <v>18</v>
      </c>
      <c r="I50" s="2" t="str">
        <f t="shared" si="0"/>
        <v>Mon - Sat - Sun</v>
      </c>
      <c r="J50" s="3">
        <v>0.46875</v>
      </c>
      <c r="K50" s="3">
        <v>0.5625</v>
      </c>
      <c r="L50" s="3">
        <v>0.625</v>
      </c>
      <c r="M50" s="3">
        <v>0.78125</v>
      </c>
      <c r="N50" s="4" t="s">
        <v>34</v>
      </c>
      <c r="O50" s="1" t="s">
        <v>36</v>
      </c>
      <c r="P50">
        <f t="shared" si="2"/>
        <v>0</v>
      </c>
    </row>
    <row r="51" spans="1:16" x14ac:dyDescent="0.3">
      <c r="A51" s="6" t="s">
        <v>108</v>
      </c>
      <c r="B51" s="1" t="s">
        <v>70</v>
      </c>
      <c r="C51" s="1" t="s">
        <v>70</v>
      </c>
      <c r="D51" s="1" t="s">
        <v>18</v>
      </c>
      <c r="E51" s="1" t="s">
        <v>18</v>
      </c>
      <c r="F51" s="1" t="s">
        <v>18</v>
      </c>
      <c r="G51" s="1" t="s">
        <v>70</v>
      </c>
      <c r="H51" s="1" t="s">
        <v>70</v>
      </c>
      <c r="I51" s="2" t="str">
        <f t="shared" si="0"/>
        <v>Wed - Thu - Fri</v>
      </c>
      <c r="J51" s="3">
        <v>0.29166666666666669</v>
      </c>
      <c r="K51" s="3">
        <v>0.51041666666666663</v>
      </c>
      <c r="L51" s="3">
        <v>0.38541666666666669</v>
      </c>
      <c r="M51" s="3">
        <v>0.61458333333333337</v>
      </c>
      <c r="N51" s="4" t="s">
        <v>20</v>
      </c>
      <c r="O51" s="1" t="s">
        <v>70</v>
      </c>
      <c r="P51">
        <f t="shared" si="2"/>
        <v>0</v>
      </c>
    </row>
    <row r="52" spans="1:16" x14ac:dyDescent="0.3">
      <c r="A52" s="6" t="s">
        <v>109</v>
      </c>
      <c r="B52" s="1" t="s">
        <v>18</v>
      </c>
      <c r="C52" s="1" t="s">
        <v>18</v>
      </c>
      <c r="D52" s="1" t="s">
        <v>18</v>
      </c>
      <c r="E52" s="1" t="s">
        <v>32</v>
      </c>
      <c r="F52" s="1" t="s">
        <v>32</v>
      </c>
      <c r="G52" s="1" t="s">
        <v>32</v>
      </c>
      <c r="H52" s="1" t="s">
        <v>32</v>
      </c>
      <c r="I52" s="2" t="str">
        <f t="shared" si="0"/>
        <v>Mon - Tue - Wed</v>
      </c>
      <c r="J52" s="3">
        <v>0.91666666666666663</v>
      </c>
      <c r="K52" s="3">
        <v>2.0833333333333332E-2</v>
      </c>
      <c r="L52" s="3">
        <v>0.10416666666666667</v>
      </c>
      <c r="M52" s="3">
        <v>0.25</v>
      </c>
      <c r="N52" s="4" t="s">
        <v>43</v>
      </c>
      <c r="O52" s="1" t="s">
        <v>32</v>
      </c>
      <c r="P52">
        <f t="shared" si="2"/>
        <v>1</v>
      </c>
    </row>
    <row r="53" spans="1:16" x14ac:dyDescent="0.3">
      <c r="A53" s="6" t="s">
        <v>110</v>
      </c>
      <c r="B53" s="1" t="s">
        <v>111</v>
      </c>
      <c r="C53" s="1" t="s">
        <v>111</v>
      </c>
      <c r="D53" s="1" t="s">
        <v>111</v>
      </c>
      <c r="E53" s="1" t="s">
        <v>111</v>
      </c>
      <c r="F53" s="1" t="s">
        <v>18</v>
      </c>
      <c r="G53" s="1" t="s">
        <v>18</v>
      </c>
      <c r="H53" s="1" t="s">
        <v>18</v>
      </c>
      <c r="I53" s="2" t="str">
        <f t="shared" si="0"/>
        <v>Fri - Sat - Sun</v>
      </c>
      <c r="J53" s="3">
        <v>0</v>
      </c>
      <c r="K53" s="3">
        <v>0.19791666666666666</v>
      </c>
      <c r="L53" s="3">
        <v>9.375E-2</v>
      </c>
      <c r="M53" s="3">
        <v>0.30208333333333331</v>
      </c>
      <c r="N53" s="4" t="s">
        <v>27</v>
      </c>
      <c r="O53" s="1" t="s">
        <v>111</v>
      </c>
      <c r="P53">
        <f t="shared" si="2"/>
        <v>1</v>
      </c>
    </row>
    <row r="54" spans="1:16" x14ac:dyDescent="0.3">
      <c r="A54" s="6" t="s">
        <v>112</v>
      </c>
      <c r="B54" s="1" t="s">
        <v>18</v>
      </c>
      <c r="C54" s="1" t="s">
        <v>18</v>
      </c>
      <c r="D54" s="1" t="s">
        <v>18</v>
      </c>
      <c r="E54" s="1" t="s">
        <v>72</v>
      </c>
      <c r="F54" s="1" t="s">
        <v>72</v>
      </c>
      <c r="G54" s="1" t="s">
        <v>72</v>
      </c>
      <c r="H54" s="1" t="s">
        <v>72</v>
      </c>
      <c r="I54" s="2" t="str">
        <f t="shared" si="0"/>
        <v>Mon - Tue - Wed</v>
      </c>
      <c r="J54" s="3">
        <v>0.5</v>
      </c>
      <c r="K54" s="3">
        <v>0.72916666666666663</v>
      </c>
      <c r="L54" s="3">
        <v>0.60416666666666663</v>
      </c>
      <c r="M54" s="3">
        <v>0.82291666666666663</v>
      </c>
      <c r="N54" s="4" t="s">
        <v>43</v>
      </c>
      <c r="O54" s="1" t="s">
        <v>72</v>
      </c>
      <c r="P54">
        <f t="shared" si="2"/>
        <v>0</v>
      </c>
    </row>
    <row r="55" spans="1:16" x14ac:dyDescent="0.3">
      <c r="A55" s="6" t="s">
        <v>114</v>
      </c>
      <c r="B55" s="1" t="s">
        <v>36</v>
      </c>
      <c r="C55" s="1" t="s">
        <v>18</v>
      </c>
      <c r="D55" s="1" t="s">
        <v>18</v>
      </c>
      <c r="E55" s="1" t="s">
        <v>18</v>
      </c>
      <c r="F55" s="1" t="s">
        <v>36</v>
      </c>
      <c r="G55" s="1" t="s">
        <v>36</v>
      </c>
      <c r="H55" s="1" t="s">
        <v>36</v>
      </c>
      <c r="I55" s="2" t="str">
        <f t="shared" si="0"/>
        <v>Tue - Wed - Thu</v>
      </c>
      <c r="J55" s="3">
        <v>0.46875</v>
      </c>
      <c r="K55" s="3">
        <v>0.5625</v>
      </c>
      <c r="L55" s="3">
        <v>0.625</v>
      </c>
      <c r="M55" s="3">
        <v>0.77083333333333337</v>
      </c>
      <c r="N55" s="4" t="s">
        <v>43</v>
      </c>
      <c r="O55" s="1" t="s">
        <v>36</v>
      </c>
      <c r="P55">
        <f t="shared" si="2"/>
        <v>0</v>
      </c>
    </row>
    <row r="56" spans="1:16" x14ac:dyDescent="0.3">
      <c r="A56" s="47" t="s">
        <v>115</v>
      </c>
      <c r="B56" s="1" t="s">
        <v>18</v>
      </c>
      <c r="C56" s="1" t="s">
        <v>116</v>
      </c>
      <c r="D56" s="1" t="s">
        <v>116</v>
      </c>
      <c r="E56" s="1" t="s">
        <v>116</v>
      </c>
      <c r="F56" s="1" t="s">
        <v>116</v>
      </c>
      <c r="G56" s="1" t="s">
        <v>18</v>
      </c>
      <c r="H56" s="1" t="s">
        <v>18</v>
      </c>
      <c r="I56" s="2" t="str">
        <f t="shared" si="0"/>
        <v>Mon - Sat - Sun</v>
      </c>
      <c r="J56" s="3">
        <v>0.375</v>
      </c>
      <c r="K56" s="3">
        <v>0.58333333333333337</v>
      </c>
      <c r="L56" s="3">
        <v>0.45833333333333331</v>
      </c>
      <c r="M56" s="3">
        <v>0.66666666666666663</v>
      </c>
      <c r="N56" s="4" t="s">
        <v>43</v>
      </c>
      <c r="O56" s="1" t="s">
        <v>116</v>
      </c>
      <c r="P56">
        <f t="shared" si="2"/>
        <v>0</v>
      </c>
    </row>
    <row r="57" spans="1:16" x14ac:dyDescent="0.3">
      <c r="A57" s="48" t="s">
        <v>117</v>
      </c>
      <c r="B57" s="1" t="s">
        <v>36</v>
      </c>
      <c r="C57" s="1" t="s">
        <v>18</v>
      </c>
      <c r="D57" s="1" t="s">
        <v>18</v>
      </c>
      <c r="E57" s="1" t="s">
        <v>18</v>
      </c>
      <c r="F57" s="1" t="s">
        <v>36</v>
      </c>
      <c r="G57" s="1" t="s">
        <v>36</v>
      </c>
      <c r="H57" s="1" t="s">
        <v>36</v>
      </c>
      <c r="I57" s="2" t="str">
        <f t="shared" si="0"/>
        <v>Tue - Wed - Thu</v>
      </c>
      <c r="J57" s="3">
        <v>0.44791666666666669</v>
      </c>
      <c r="K57" s="3">
        <v>0.65625</v>
      </c>
      <c r="L57" s="3">
        <v>0.52083333333333337</v>
      </c>
      <c r="M57" s="3">
        <v>0.76041666666666663</v>
      </c>
      <c r="N57" s="4" t="s">
        <v>38</v>
      </c>
      <c r="O57" s="1" t="s">
        <v>36</v>
      </c>
      <c r="P57">
        <f t="shared" si="2"/>
        <v>0</v>
      </c>
    </row>
    <row r="58" spans="1:16" x14ac:dyDescent="0.3">
      <c r="A58" s="49" t="s">
        <v>118</v>
      </c>
      <c r="B58" s="1" t="s">
        <v>70</v>
      </c>
      <c r="C58" s="1" t="s">
        <v>70</v>
      </c>
      <c r="D58" s="1" t="s">
        <v>70</v>
      </c>
      <c r="E58" s="1" t="s">
        <v>18</v>
      </c>
      <c r="F58" s="1" t="s">
        <v>18</v>
      </c>
      <c r="G58" s="1" t="s">
        <v>18</v>
      </c>
      <c r="H58" s="1" t="s">
        <v>70</v>
      </c>
      <c r="I58" s="2" t="str">
        <f t="shared" si="0"/>
        <v>Thu - Fri - Sat</v>
      </c>
      <c r="J58" s="3">
        <v>0.29166666666666669</v>
      </c>
      <c r="K58" s="3">
        <v>0.5</v>
      </c>
      <c r="L58" s="3">
        <v>0.375</v>
      </c>
      <c r="M58" s="3">
        <v>0.61458333333333337</v>
      </c>
      <c r="N58" s="4" t="s">
        <v>43</v>
      </c>
      <c r="O58" s="1" t="s">
        <v>41</v>
      </c>
      <c r="P58">
        <f t="shared" si="2"/>
        <v>1</v>
      </c>
    </row>
    <row r="59" spans="1:16" ht="15" customHeight="1" x14ac:dyDescent="0.3">
      <c r="A59" s="6" t="s">
        <v>119</v>
      </c>
      <c r="B59" s="5" t="s">
        <v>120</v>
      </c>
      <c r="C59" s="5" t="s">
        <v>120</v>
      </c>
      <c r="D59" s="1" t="s">
        <v>18</v>
      </c>
      <c r="E59" s="1" t="s">
        <v>18</v>
      </c>
      <c r="F59" s="1" t="s">
        <v>18</v>
      </c>
      <c r="G59" s="5" t="s">
        <v>120</v>
      </c>
      <c r="H59" s="5" t="s">
        <v>120</v>
      </c>
      <c r="I59" s="2" t="str">
        <f t="shared" si="0"/>
        <v>Wed - Thu - Fri</v>
      </c>
      <c r="J59" s="5">
        <v>8.3333333333333329E-2</v>
      </c>
      <c r="K59" s="5">
        <v>0.16666666666666666</v>
      </c>
      <c r="L59" s="5">
        <v>0.29166666666666669</v>
      </c>
      <c r="M59" s="5">
        <v>0.41666666666666669</v>
      </c>
      <c r="N59" s="4" t="s">
        <v>121</v>
      </c>
      <c r="O59" s="5" t="s">
        <v>120</v>
      </c>
      <c r="P59">
        <f t="shared" si="2"/>
        <v>0</v>
      </c>
    </row>
    <row r="60" spans="1:16" x14ac:dyDescent="0.3">
      <c r="A60" s="47" t="s">
        <v>122</v>
      </c>
      <c r="B60" s="1" t="s">
        <v>18</v>
      </c>
      <c r="C60" s="1" t="s">
        <v>18</v>
      </c>
      <c r="D60" s="1" t="s">
        <v>123</v>
      </c>
      <c r="E60" s="1" t="s">
        <v>123</v>
      </c>
      <c r="F60" s="1" t="s">
        <v>18</v>
      </c>
      <c r="G60" s="1" t="s">
        <v>123</v>
      </c>
      <c r="H60" s="1" t="s">
        <v>123</v>
      </c>
      <c r="I60" s="2" t="str">
        <f t="shared" si="0"/>
        <v>Mon - Tue - Fri</v>
      </c>
      <c r="J60" s="3">
        <v>5.2083333333333336E-2</v>
      </c>
      <c r="K60" s="3">
        <v>0.27083333333333331</v>
      </c>
      <c r="L60" s="3">
        <v>0.14583333333333334</v>
      </c>
      <c r="M60" s="3">
        <v>0.36458333333333331</v>
      </c>
      <c r="N60" s="4" t="s">
        <v>38</v>
      </c>
      <c r="O60" s="1" t="s">
        <v>123</v>
      </c>
      <c r="P60">
        <f t="shared" si="2"/>
        <v>1</v>
      </c>
    </row>
    <row r="61" spans="1:16" x14ac:dyDescent="0.3">
      <c r="A61" s="48" t="s">
        <v>125</v>
      </c>
      <c r="B61" s="1" t="s">
        <v>18</v>
      </c>
      <c r="C61" s="1" t="s">
        <v>18</v>
      </c>
      <c r="D61" s="1" t="s">
        <v>36</v>
      </c>
      <c r="E61" s="1" t="s">
        <v>36</v>
      </c>
      <c r="F61" s="1" t="s">
        <v>36</v>
      </c>
      <c r="G61" s="1" t="s">
        <v>36</v>
      </c>
      <c r="H61" s="1" t="s">
        <v>18</v>
      </c>
      <c r="I61" s="2" t="str">
        <f t="shared" si="0"/>
        <v>Mon - Tue - Sun</v>
      </c>
      <c r="J61" s="3">
        <v>0.46875</v>
      </c>
      <c r="K61" s="3">
        <v>0.72916666666666663</v>
      </c>
      <c r="L61" s="3">
        <v>0.5625</v>
      </c>
      <c r="M61" s="3">
        <v>0.79166666666666663</v>
      </c>
      <c r="N61" s="4" t="s">
        <v>27</v>
      </c>
      <c r="O61" s="1" t="s">
        <v>36</v>
      </c>
      <c r="P61">
        <f t="shared" si="2"/>
        <v>0</v>
      </c>
    </row>
    <row r="62" spans="1:16" x14ac:dyDescent="0.3">
      <c r="A62" s="17" t="s">
        <v>126</v>
      </c>
      <c r="B62" s="1" t="s">
        <v>116</v>
      </c>
      <c r="C62" s="1" t="s">
        <v>116</v>
      </c>
      <c r="D62" s="1" t="s">
        <v>18</v>
      </c>
      <c r="E62" s="1" t="s">
        <v>18</v>
      </c>
      <c r="F62" s="1" t="s">
        <v>18</v>
      </c>
      <c r="G62" s="1" t="s">
        <v>116</v>
      </c>
      <c r="H62" s="1" t="s">
        <v>116</v>
      </c>
      <c r="I62" s="2" t="str">
        <f t="shared" si="0"/>
        <v>Wed - Thu - Fri</v>
      </c>
      <c r="J62" s="3">
        <v>0.36458333333333331</v>
      </c>
      <c r="K62" s="3">
        <v>0.57291666666666663</v>
      </c>
      <c r="L62" s="3">
        <v>0.44791666666666669</v>
      </c>
      <c r="M62" s="3">
        <v>0.67708333333333337</v>
      </c>
      <c r="N62" s="4" t="s">
        <v>34</v>
      </c>
      <c r="O62" s="1" t="s">
        <v>116</v>
      </c>
      <c r="P62">
        <f t="shared" si="2"/>
        <v>0</v>
      </c>
    </row>
    <row r="63" spans="1:16" x14ac:dyDescent="0.3">
      <c r="A63" s="48" t="s">
        <v>127</v>
      </c>
      <c r="B63" s="1" t="s">
        <v>128</v>
      </c>
      <c r="C63" s="1" t="s">
        <v>128</v>
      </c>
      <c r="D63" s="1" t="s">
        <v>18</v>
      </c>
      <c r="E63" s="1" t="s">
        <v>18</v>
      </c>
      <c r="F63" s="1" t="s">
        <v>18</v>
      </c>
      <c r="G63" s="1" t="s">
        <v>128</v>
      </c>
      <c r="H63" s="1" t="s">
        <v>128</v>
      </c>
      <c r="I63" s="2" t="str">
        <f t="shared" si="0"/>
        <v>Wed - Thu - Fri</v>
      </c>
      <c r="J63" s="3">
        <v>0.53125</v>
      </c>
      <c r="K63" s="3">
        <v>0.76041666666666663</v>
      </c>
      <c r="L63" s="3">
        <v>0.64583333333333337</v>
      </c>
      <c r="M63" s="3">
        <v>0.875</v>
      </c>
      <c r="N63" s="4" t="s">
        <v>34</v>
      </c>
      <c r="O63" s="1" t="s">
        <v>128</v>
      </c>
      <c r="P63">
        <f t="shared" si="2"/>
        <v>0</v>
      </c>
    </row>
    <row r="64" spans="1:16" x14ac:dyDescent="0.3">
      <c r="A64" s="48" t="s">
        <v>129</v>
      </c>
      <c r="B64" s="1" t="s">
        <v>36</v>
      </c>
      <c r="C64" s="1" t="s">
        <v>36</v>
      </c>
      <c r="D64" s="1" t="s">
        <v>36</v>
      </c>
      <c r="E64" s="1" t="s">
        <v>18</v>
      </c>
      <c r="F64" s="1" t="s">
        <v>36</v>
      </c>
      <c r="G64" s="1" t="s">
        <v>18</v>
      </c>
      <c r="H64" s="1" t="s">
        <v>18</v>
      </c>
      <c r="I64" s="2" t="str">
        <f t="shared" si="0"/>
        <v>Thu - Sat - Sun</v>
      </c>
      <c r="J64" s="3">
        <v>0.48958333333333331</v>
      </c>
      <c r="K64" s="3">
        <v>0.72916666666666663</v>
      </c>
      <c r="L64" s="3">
        <v>0.60416666666666663</v>
      </c>
      <c r="M64" s="3">
        <v>0.8125</v>
      </c>
      <c r="N64" s="4" t="s">
        <v>38</v>
      </c>
      <c r="O64" s="1" t="s">
        <v>36</v>
      </c>
      <c r="P64">
        <f t="shared" si="2"/>
        <v>0</v>
      </c>
    </row>
    <row r="65" spans="1:16" x14ac:dyDescent="0.3">
      <c r="A65" s="48" t="s">
        <v>130</v>
      </c>
      <c r="B65" s="1" t="s">
        <v>18</v>
      </c>
      <c r="C65" s="1" t="s">
        <v>116</v>
      </c>
      <c r="D65" s="1" t="s">
        <v>116</v>
      </c>
      <c r="E65" s="1" t="s">
        <v>116</v>
      </c>
      <c r="F65" s="1" t="s">
        <v>116</v>
      </c>
      <c r="G65" s="1" t="s">
        <v>18</v>
      </c>
      <c r="H65" s="1" t="s">
        <v>18</v>
      </c>
      <c r="I65" s="2" t="str">
        <f t="shared" si="0"/>
        <v>Mon - Sat - Sun</v>
      </c>
      <c r="J65" s="3">
        <v>0.375</v>
      </c>
      <c r="K65" s="3">
        <v>0.59375</v>
      </c>
      <c r="L65" s="3">
        <v>0.45833333333333331</v>
      </c>
      <c r="M65" s="3">
        <v>0.67708333333333337</v>
      </c>
      <c r="N65" s="4" t="s">
        <v>43</v>
      </c>
      <c r="O65" s="1" t="s">
        <v>116</v>
      </c>
      <c r="P65">
        <f t="shared" si="2"/>
        <v>0</v>
      </c>
    </row>
    <row r="66" spans="1:16" x14ac:dyDescent="0.3">
      <c r="A66" s="48" t="s">
        <v>131</v>
      </c>
      <c r="B66" s="1" t="s">
        <v>116</v>
      </c>
      <c r="C66" s="1" t="s">
        <v>116</v>
      </c>
      <c r="D66" s="1" t="s">
        <v>116</v>
      </c>
      <c r="E66" s="1" t="s">
        <v>116</v>
      </c>
      <c r="F66" s="1" t="s">
        <v>18</v>
      </c>
      <c r="G66" s="1" t="s">
        <v>18</v>
      </c>
      <c r="H66" s="1" t="s">
        <v>18</v>
      </c>
      <c r="I66" s="2" t="str">
        <f t="shared" ref="I66:I67" si="3">_xlfn.TEXTJOIN(" - ",TRUE,
IF(B66="OFF","Mon",""),
IF(C66="OFF","Tue",""),
IF(D66="OFF","Wed",""),
IF(E66="OFF","Thu",""),
IF(F66="OFF","Fri",""),
IF(G66="OFF","Sat",""),
IF(H66="OFF","Sun",""))</f>
        <v>Fri - Sat - Sun</v>
      </c>
      <c r="J66" s="3">
        <v>0.375</v>
      </c>
      <c r="K66" s="3">
        <v>0.47916666666666669</v>
      </c>
      <c r="L66" s="3">
        <v>0.58333333333333337</v>
      </c>
      <c r="M66" s="3">
        <v>0.67708333333333337</v>
      </c>
      <c r="N66" s="4" t="s">
        <v>27</v>
      </c>
      <c r="O66" s="1" t="s">
        <v>116</v>
      </c>
      <c r="P66">
        <f t="shared" ref="P66:P67" si="4">IF(O66="OFF",0,IF(VALUE(LEFT(O66,2))&lt;12,0,1))</f>
        <v>0</v>
      </c>
    </row>
    <row r="67" spans="1:16" x14ac:dyDescent="0.3">
      <c r="A67" s="47" t="s">
        <v>132</v>
      </c>
      <c r="B67" s="53" t="s">
        <v>25</v>
      </c>
      <c r="C67" s="53" t="s">
        <v>18</v>
      </c>
      <c r="D67" s="53" t="s">
        <v>25</v>
      </c>
      <c r="E67" s="53" t="s">
        <v>25</v>
      </c>
      <c r="F67" s="53" t="s">
        <v>25</v>
      </c>
      <c r="G67" s="53" t="s">
        <v>18</v>
      </c>
      <c r="H67" s="53" t="s">
        <v>18</v>
      </c>
      <c r="I67" s="2" t="str">
        <f t="shared" si="3"/>
        <v>Tue - Sat - Sun</v>
      </c>
      <c r="J67" s="54">
        <v>0.42708333333333331</v>
      </c>
      <c r="K67" s="54">
        <v>0.64583333333333337</v>
      </c>
      <c r="L67" s="54">
        <v>0.51041666666666663</v>
      </c>
      <c r="M67" s="54">
        <v>0.76041666666666663</v>
      </c>
      <c r="N67" s="55" t="s">
        <v>38</v>
      </c>
      <c r="O67" s="53" t="s">
        <v>25</v>
      </c>
      <c r="P67">
        <f t="shared" si="4"/>
        <v>0</v>
      </c>
    </row>
  </sheetData>
  <phoneticPr fontId="8" type="noConversion"/>
  <conditionalFormatting sqref="A2:A14 A16:A60 B2:I67">
    <cfRule type="cellIs" dxfId="16" priority="52" operator="equal">
      <formula>"OFF"</formula>
    </cfRule>
  </conditionalFormatting>
  <conditionalFormatting sqref="A67:I67">
    <cfRule type="cellIs" dxfId="15" priority="2" operator="equal">
      <formula>"OFF"</formula>
    </cfRule>
  </conditionalFormatting>
  <conditionalFormatting sqref="I56:I57">
    <cfRule type="cellIs" dxfId="14" priority="40" operator="equal">
      <formula>"OFF"</formula>
    </cfRule>
  </conditionalFormatting>
  <conditionalFormatting sqref="O2:O67">
    <cfRule type="cellIs" dxfId="13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7"/>
  <sheetViews>
    <sheetView zoomScale="85" zoomScaleNormal="85" workbookViewId="0">
      <selection activeCell="I9" sqref="I9"/>
    </sheetView>
  </sheetViews>
  <sheetFormatPr defaultColWidth="9.109375" defaultRowHeight="14.4" x14ac:dyDescent="0.3"/>
  <cols>
    <col min="1" max="1" width="26.88671875" bestFit="1" customWidth="1"/>
    <col min="2" max="3" width="13" customWidth="1"/>
    <col min="4" max="4" width="13.88671875" customWidth="1"/>
    <col min="5" max="8" width="13" customWidth="1"/>
    <col min="9" max="9" width="20" customWidth="1"/>
    <col min="10" max="11" width="10" customWidth="1"/>
    <col min="12" max="12" width="9.109375" customWidth="1"/>
    <col min="13" max="13" width="10" customWidth="1"/>
    <col min="14" max="14" width="18.5546875" bestFit="1" customWidth="1"/>
    <col min="15" max="15" width="13.33203125" bestFit="1" customWidth="1"/>
    <col min="16" max="16" width="10.109375" bestFit="1" customWidth="1"/>
  </cols>
  <sheetData>
    <row r="1" spans="1:16" x14ac:dyDescent="0.3">
      <c r="A1" s="56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56" t="s">
        <v>8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13</v>
      </c>
      <c r="O1" s="56" t="s">
        <v>133</v>
      </c>
      <c r="P1" s="56" t="s">
        <v>134</v>
      </c>
    </row>
    <row r="2" spans="1:16" x14ac:dyDescent="0.3">
      <c r="A2" s="57" t="str">
        <f>Table2[[#This Row],[Name]]</f>
        <v>Aireen Balanon</v>
      </c>
      <c r="B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2" s="57" t="str">
        <f>_xlfn.TEXTJOIN(" - ",TRUE,
IF(B2="OFF","Mon",""),
IF(C2="OFF","Tue",""),
IF(D2="OFF","Wed",""),
IF(E2="OFF","Thu",""),
IF(F2="OFF","Fri",""),
IF(G2="OFF","Sat",""),
IF(H2="OFF","Sun",""))</f>
        <v>Wed - Thu - Fri</v>
      </c>
      <c r="J2" s="58">
        <f>MOD(EST!J2+TIME(12,0,0),1)</f>
        <v>0.625</v>
      </c>
      <c r="K2" s="58">
        <f>MOD(EST!K2+TIME(12,0,0),1)</f>
        <v>0.85416666666666674</v>
      </c>
      <c r="L2" s="58">
        <f>MOD(EST!L2+TIME(12,0,0),1)</f>
        <v>0.76041666666666674</v>
      </c>
      <c r="M2" s="58">
        <f>MOD(EST!M2+TIME(12,0,0),1)</f>
        <v>0.94791666666666674</v>
      </c>
      <c r="N2" s="57" t="str">
        <f>EST!N2</f>
        <v>Remmo Panaligan</v>
      </c>
      <c r="O2" s="57" t="s">
        <v>22</v>
      </c>
      <c r="P2" s="57">
        <f>IF(TIMEVALUE(LEFT(O2,FIND("-",O2)-1))&gt;=12/24,0,1)</f>
        <v>0</v>
      </c>
    </row>
    <row r="3" spans="1:16" x14ac:dyDescent="0.3">
      <c r="A3" s="57" t="str">
        <f>Table2[[#This Row],[Name]]</f>
        <v>Alec Christian Palabay</v>
      </c>
      <c r="B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s="57" t="str">
        <f t="shared" ref="I3:I63" si="0">_xlfn.TEXTJOIN(" - ",TRUE,
IF(B3="OFF","Mon",""),
IF(C3="OFF","Tue",""),
IF(D3="OFF","Wed",""),
IF(E3="OFF","Thu",""),
IF(F3="OFF","Fri",""),
IF(G3="OFF","Sat",""),
IF(H3="OFF","Sun",""))</f>
        <v>Fri - Sat - Sun</v>
      </c>
      <c r="J3" s="58">
        <f>MOD(EST!J3+TIME(12,0,0),1)</f>
        <v>0.11458333333333348</v>
      </c>
      <c r="K3" s="58">
        <f>MOD(EST!K3+TIME(12,0,0),1)</f>
        <v>0.3125</v>
      </c>
      <c r="L3" s="58">
        <f>MOD(EST!L3+TIME(12,0,0),1)</f>
        <v>0.1875</v>
      </c>
      <c r="M3" s="58">
        <f>MOD(EST!M3+TIME(12,0,0),1)</f>
        <v>0.41666666666666652</v>
      </c>
      <c r="N3" s="57" t="str">
        <f>EST!N3</f>
        <v>Remmo Panaligan</v>
      </c>
      <c r="O3" s="57" t="s">
        <v>17</v>
      </c>
      <c r="P3" s="57">
        <f t="shared" ref="P3:P67" si="1">IF(TIMEVALUE(LEFT(O3,FIND("-",O3)-1))&gt;=12/24,0,1)</f>
        <v>1</v>
      </c>
    </row>
    <row r="4" spans="1:16" x14ac:dyDescent="0.3">
      <c r="A4" s="57" t="str">
        <f>Table2[[#This Row],[Name]]</f>
        <v>Andrei Mark Llenos</v>
      </c>
      <c r="B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s="57" t="str">
        <f t="shared" si="0"/>
        <v>Thu - Sat - Sun</v>
      </c>
      <c r="J4" s="58">
        <f>MOD(EST!J4+TIME(12,0,0),1)</f>
        <v>0.89583333333333326</v>
      </c>
      <c r="K4" s="58">
        <f>MOD(EST!K4+TIME(12,0,0),1)</f>
        <v>0.10416666666666652</v>
      </c>
      <c r="L4" s="58">
        <f>MOD(EST!L4+TIME(12,0,0),1)</f>
        <v>0.97916666666666674</v>
      </c>
      <c r="M4" s="58">
        <f>MOD(EST!M4+TIME(12,0,0),1)</f>
        <v>0.23958333333333348</v>
      </c>
      <c r="N4" s="57" t="str">
        <f>EST!N4</f>
        <v>Manilyn Abellar</v>
      </c>
      <c r="O4" s="57" t="s">
        <v>32</v>
      </c>
      <c r="P4" s="57">
        <f t="shared" si="1"/>
        <v>0</v>
      </c>
    </row>
    <row r="5" spans="1:16" x14ac:dyDescent="0.3">
      <c r="A5" s="57" t="str">
        <f>Table2[[#This Row],[Name]]</f>
        <v>Antonio Agda</v>
      </c>
      <c r="B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" s="57" t="str">
        <f t="shared" ref="I5:I36" si="2">_xlfn.TEXTJOIN(" - ",TRUE,
IF(B5="OFF","Mon",""),
IF(C5="OFF","Tue",""),
IF(D5="OFF","Wed",""),
IF(E5="OFF","Thu",""),
IF(F5="OFF","Fri",""),
IF(G5="OFF","Sat",""),
IF(H5="OFF","Sun",""))</f>
        <v>Fri - Sat - Sun</v>
      </c>
      <c r="J5" s="58">
        <f>MOD(EST!J30+TIME(12,0,0),1)</f>
        <v>0.66666666666666663</v>
      </c>
      <c r="K5" s="58">
        <f>MOD(EST!K30+TIME(12,0,0),1)</f>
        <v>0.76041666666666674</v>
      </c>
      <c r="L5" s="58">
        <f>MOD(EST!L30+TIME(12,0,0),1)</f>
        <v>0.54166666666666663</v>
      </c>
      <c r="M5" s="58">
        <f>MOD(EST!M30+TIME(12,0,0),1)</f>
        <v>0.83333333333333326</v>
      </c>
      <c r="N5" s="57" t="str">
        <f>EST!N30</f>
        <v>Manilyn Abellar</v>
      </c>
      <c r="O5" s="57" t="s">
        <v>87</v>
      </c>
      <c r="P5" s="57">
        <f t="shared" si="1"/>
        <v>1</v>
      </c>
    </row>
    <row r="6" spans="1:16" x14ac:dyDescent="0.3">
      <c r="A6" s="57" t="str">
        <f>Table2[[#This Row],[Name]]</f>
        <v>Aysha Sagira Macalandong</v>
      </c>
      <c r="B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" s="57" t="str">
        <f t="shared" si="2"/>
        <v>Tue - Wed - Thu</v>
      </c>
      <c r="J6" s="58">
        <f>MOD(EST!J6+TIME(12,0,0),1)</f>
        <v>0.42708333333333348</v>
      </c>
      <c r="K6" s="58">
        <f>MOD(EST!K6+TIME(12,0,0),1)</f>
        <v>0.51041666666666663</v>
      </c>
      <c r="L6" s="58">
        <f>MOD(EST!L6+TIME(12,0,0),1)</f>
        <v>0.6875</v>
      </c>
      <c r="M6" s="58">
        <f>MOD(EST!M6+TIME(12,0,0),1)</f>
        <v>0.60416666666666663</v>
      </c>
      <c r="N6" s="57" t="str">
        <f>EST!N6</f>
        <v>Michael Dominguez</v>
      </c>
      <c r="O6" s="57" t="s">
        <v>25</v>
      </c>
      <c r="P6" s="57">
        <f t="shared" si="1"/>
        <v>1</v>
      </c>
    </row>
    <row r="7" spans="1:16" x14ac:dyDescent="0.3">
      <c r="A7" s="57" t="str">
        <f>Table2[[#This Row],[Name]]</f>
        <v>Azilean Khrista Almazan</v>
      </c>
      <c r="B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s="57" t="str">
        <f t="shared" si="2"/>
        <v>Mon - Tue - Sun</v>
      </c>
      <c r="J7" s="58">
        <f>MOD(EST!J7+TIME(12,0,0),1)</f>
        <v>0.95833333333333326</v>
      </c>
      <c r="K7" s="58">
        <f>MOD(EST!K7+TIME(12,0,0),1)</f>
        <v>5.2083333333333481E-2</v>
      </c>
      <c r="L7" s="58">
        <f>MOD(EST!L7+TIME(12,0,0),1)</f>
        <v>0.1875</v>
      </c>
      <c r="M7" s="58">
        <f>MOD(EST!M7+TIME(12,0,0),1)</f>
        <v>0.28125</v>
      </c>
      <c r="N7" s="57" t="str">
        <f>EST!N7</f>
        <v>Anmecha Valencia</v>
      </c>
      <c r="O7" s="57" t="s">
        <v>84</v>
      </c>
      <c r="P7" s="57">
        <f t="shared" si="1"/>
        <v>0</v>
      </c>
    </row>
    <row r="8" spans="1:16" x14ac:dyDescent="0.3">
      <c r="A8" s="57" t="str">
        <f>Table2[[#This Row],[Name]]</f>
        <v>Benedict Ermitano</v>
      </c>
      <c r="B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s="57" t="str">
        <f t="shared" si="2"/>
        <v>Thu - Sat - Sun</v>
      </c>
      <c r="J8" s="58">
        <f>MOD(EST!J21+TIME(12,0,0),1)</f>
        <v>0.9375</v>
      </c>
      <c r="K8" s="58">
        <f>MOD(EST!K21+TIME(12,0,0),1)</f>
        <v>0.15625</v>
      </c>
      <c r="L8" s="58">
        <f>MOD(EST!L21+TIME(12,0,0),1)</f>
        <v>3.125E-2</v>
      </c>
      <c r="M8" s="58">
        <f>MOD(EST!M21+TIME(12,0,0),1)</f>
        <v>0.25</v>
      </c>
      <c r="N8" s="57" t="str">
        <f>EST!N21</f>
        <v>Michael Dominguez</v>
      </c>
      <c r="O8" s="57" t="s">
        <v>68</v>
      </c>
      <c r="P8" s="57">
        <f t="shared" si="1"/>
        <v>1</v>
      </c>
    </row>
    <row r="9" spans="1:16" x14ac:dyDescent="0.3">
      <c r="A9" s="57" t="str">
        <f>Table2[[#This Row],[Name]]</f>
        <v>Carlos Kiamco</v>
      </c>
      <c r="B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05:00 - 16:00</v>
      </c>
      <c r="I9" s="57" t="str">
        <f t="shared" si="2"/>
        <v>Thu - Fri - Sat</v>
      </c>
      <c r="J9" s="58">
        <f>MOD(EST!J14+TIME(12,0,0),1)</f>
        <v>0.375</v>
      </c>
      <c r="K9" s="58">
        <f>MOD(EST!K14+TIME(12,0,0),1)</f>
        <v>0.45833333333333348</v>
      </c>
      <c r="L9" s="58">
        <f>MOD(EST!L14+TIME(12,0,0),1)</f>
        <v>0.5625</v>
      </c>
      <c r="M9" s="58">
        <f>MOD(EST!M14+TIME(12,0,0),1)</f>
        <v>0.6875</v>
      </c>
      <c r="N9" s="57" t="str">
        <f>EST!N14</f>
        <v>Manilyn Abellar</v>
      </c>
      <c r="O9" s="57" t="s">
        <v>116</v>
      </c>
      <c r="P9" s="57">
        <f t="shared" si="1"/>
        <v>1</v>
      </c>
    </row>
    <row r="10" spans="1:16" x14ac:dyDescent="0.3">
      <c r="A10" s="57" t="str">
        <f>Table2[[#This Row],[Name]]</f>
        <v>Charisse Capuno</v>
      </c>
      <c r="B1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s="57" t="str">
        <f t="shared" si="2"/>
        <v>Tue - Sat - Sun</v>
      </c>
      <c r="J10" s="58">
        <f>MOD(EST!J10+TIME(12,0,0),1)</f>
        <v>0.96875</v>
      </c>
      <c r="K10" s="58">
        <f>MOD(EST!K10+TIME(12,0,0),1)</f>
        <v>6.25E-2</v>
      </c>
      <c r="L10" s="58">
        <f>MOD(EST!L10+TIME(12,0,0),1)</f>
        <v>0.25</v>
      </c>
      <c r="M10" s="58">
        <f>MOD(EST!M10+TIME(12,0,0),1)</f>
        <v>0.15625</v>
      </c>
      <c r="N10" s="57" t="str">
        <f>EST!N10</f>
        <v>Anmecha Valencia</v>
      </c>
      <c r="O10" s="57" t="s">
        <v>84</v>
      </c>
      <c r="P10" s="57">
        <f t="shared" si="1"/>
        <v>0</v>
      </c>
    </row>
    <row r="11" spans="1:16" x14ac:dyDescent="0.3">
      <c r="A11" s="57" t="str">
        <f>Table2[[#This Row],[Name]]</f>
        <v>Chris Paul Dalut</v>
      </c>
      <c r="B1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1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1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15:00 - 02:00</v>
      </c>
      <c r="F1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15:00 - 02:00</v>
      </c>
      <c r="G1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1" s="57" t="str">
        <f t="shared" si="2"/>
        <v>Wed - Sat - Sun</v>
      </c>
      <c r="J11" s="58">
        <f>MOD(EST!J50+TIME(12,0,0),1)</f>
        <v>0.96875</v>
      </c>
      <c r="K11" s="58">
        <f>MOD(EST!K50+TIME(12,0,0),1)</f>
        <v>6.25E-2</v>
      </c>
      <c r="L11" s="58">
        <f>MOD(EST!L50+TIME(12,0,0),1)</f>
        <v>0.125</v>
      </c>
      <c r="M11" s="58">
        <f>MOD(EST!M50+TIME(12,0,0),1)</f>
        <v>0.28125</v>
      </c>
      <c r="N11" s="57" t="str">
        <f>EST!N50</f>
        <v>Michael Dominguez</v>
      </c>
      <c r="O11" s="57" t="s">
        <v>25</v>
      </c>
      <c r="P11" s="57">
        <f t="shared" si="1"/>
        <v>1</v>
      </c>
    </row>
    <row r="12" spans="1:16" x14ac:dyDescent="0.3">
      <c r="A12" s="57" t="str">
        <f>Table2[[#This Row],[Name]]</f>
        <v>Christian Lajera</v>
      </c>
      <c r="B1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s="57" t="str">
        <f t="shared" si="2"/>
        <v>Mon - Sat - Sun</v>
      </c>
      <c r="J12" s="58">
        <f>MOD(EST!J35+TIME(12,0,0),1)</f>
        <v>0.84375</v>
      </c>
      <c r="K12" s="58">
        <f>MOD(EST!K35+TIME(12,0,0),1)</f>
        <v>0.66666666666666663</v>
      </c>
      <c r="L12" s="58">
        <f>MOD(EST!L35+TIME(12,0,0),1)</f>
        <v>0.72916666666666663</v>
      </c>
      <c r="M12" s="58">
        <f>MOD(EST!M35+TIME(12,0,0),1)</f>
        <v>0.92708333333333326</v>
      </c>
      <c r="N12" s="57" t="str">
        <f>EST!N35</f>
        <v>Manilyn Abellar</v>
      </c>
      <c r="O12" s="57" t="s">
        <v>36</v>
      </c>
      <c r="P12" s="57">
        <f t="shared" si="1"/>
        <v>1</v>
      </c>
    </row>
    <row r="13" spans="1:16" x14ac:dyDescent="0.3">
      <c r="A13" s="57" t="str">
        <f>Table2[[#This Row],[Name]]</f>
        <v>Cleendy Cerilla</v>
      </c>
      <c r="B1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s="57" t="str">
        <f t="shared" si="2"/>
        <v>Fri - Sat - Sun</v>
      </c>
      <c r="J13" s="58">
        <f>MOD(EST!J28+TIME(12,0,0),1)</f>
        <v>4.1666666666666519E-2</v>
      </c>
      <c r="K13" s="58">
        <f>MOD(EST!K28+TIME(12,0,0),1)</f>
        <v>0.26041666666666652</v>
      </c>
      <c r="L13" s="58">
        <f>MOD(EST!L28+TIME(12,0,0),1)</f>
        <v>0.13541666666666652</v>
      </c>
      <c r="M13" s="58">
        <f>MOD(EST!M28+TIME(12,0,0),1)</f>
        <v>0.36458333333333348</v>
      </c>
      <c r="N13" s="57" t="str">
        <f>EST!N28</f>
        <v>Remmo Panaligan</v>
      </c>
      <c r="O13" s="57" t="s">
        <v>72</v>
      </c>
      <c r="P13" s="57">
        <f t="shared" si="1"/>
        <v>1</v>
      </c>
    </row>
    <row r="14" spans="1:16" x14ac:dyDescent="0.3">
      <c r="A14" s="57" t="str">
        <f>Table2[[#This Row],[Name]]</f>
        <v>Crisma Vic Melecio</v>
      </c>
      <c r="B1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1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07:00 - 18:00</v>
      </c>
      <c r="G1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1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07:00 - 18:00</v>
      </c>
      <c r="I14" s="57" t="str">
        <f t="shared" si="2"/>
        <v>Tue - Wed - Thu</v>
      </c>
      <c r="J14" s="58">
        <f>MOD(EST!J40+TIME(12,0,0),1)</f>
        <v>0.95833333333333326</v>
      </c>
      <c r="K14" s="58">
        <f>MOD(EST!K40+TIME(12,0,0),1)</f>
        <v>5.2083333333333481E-2</v>
      </c>
      <c r="L14" s="58">
        <f>MOD(EST!L40+TIME(12,0,0),1)</f>
        <v>0.125</v>
      </c>
      <c r="M14" s="58">
        <f>MOD(EST!M40+TIME(12,0,0),1)</f>
        <v>0.27083333333333348</v>
      </c>
      <c r="N14" s="57" t="str">
        <f>EST!N40</f>
        <v>Anmecha Valencia</v>
      </c>
      <c r="O14" s="57" t="s">
        <v>128</v>
      </c>
      <c r="P14" s="57">
        <f t="shared" si="1"/>
        <v>1</v>
      </c>
    </row>
    <row r="15" spans="1:16" x14ac:dyDescent="0.3">
      <c r="A15" s="57" t="str">
        <f>Table2[[#This Row],[Name]]</f>
        <v>Cynthia Anosa</v>
      </c>
      <c r="B1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1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1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s="57" t="str">
        <f t="shared" si="2"/>
        <v>Mon - Sat - Sun</v>
      </c>
      <c r="J15" s="58">
        <f>MOD(EST!J15+TIME(12,0,0),1)</f>
        <v>0.73958333333333337</v>
      </c>
      <c r="K15" s="58">
        <f>MOD(EST!K15+TIME(12,0,0),1)</f>
        <v>2.0833333333333481E-2</v>
      </c>
      <c r="L15" s="58">
        <f>MOD(EST!L15+TIME(12,0,0),1)</f>
        <v>0.85416666666666674</v>
      </c>
      <c r="M15" s="58">
        <f>MOD(EST!M15+TIME(12,0,0),1)</f>
        <v>8.3333333333333481E-2</v>
      </c>
      <c r="N15" s="57" t="str">
        <f>EST!N15</f>
        <v>Manilyn Abellar</v>
      </c>
      <c r="O15" s="57" t="s">
        <v>135</v>
      </c>
      <c r="P15" s="57">
        <f t="shared" si="1"/>
        <v>0</v>
      </c>
    </row>
    <row r="16" spans="1:16" x14ac:dyDescent="0.3">
      <c r="A16" s="57" t="str">
        <f>Table2[[#This Row],[Name]]</f>
        <v>Cyril Tagalog</v>
      </c>
      <c r="B1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6" s="57" t="str">
        <f t="shared" si="2"/>
        <v>Fri - Sat - Sun</v>
      </c>
      <c r="J16" s="58">
        <f>MOD(EST!J27+TIME(12,0,0),1)</f>
        <v>0.92708333333333326</v>
      </c>
      <c r="K16" s="58">
        <f>MOD(EST!K27+TIME(12,0,0),1)</f>
        <v>0.15625</v>
      </c>
      <c r="L16" s="58">
        <f>MOD(EST!L27+TIME(12,0,0),1)</f>
        <v>3.125E-2</v>
      </c>
      <c r="M16" s="58">
        <f>MOD(EST!M27+TIME(12,0,0),1)</f>
        <v>0.25</v>
      </c>
      <c r="N16" s="57" t="str">
        <f>EST!N27</f>
        <v>Remmo Panaligan</v>
      </c>
      <c r="O16" s="57" t="s">
        <v>136</v>
      </c>
      <c r="P16" s="57">
        <f t="shared" si="1"/>
        <v>0</v>
      </c>
    </row>
    <row r="17" spans="1:16" x14ac:dyDescent="0.3">
      <c r="A17" s="57" t="str">
        <f>Table2[[#This Row],[Name]]</f>
        <v>Dairenn Angel Adarne</v>
      </c>
      <c r="B1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7" s="57" t="str">
        <f t="shared" si="2"/>
        <v>Tue - Wed - Thu</v>
      </c>
      <c r="J17" s="58">
        <f>MOD(EST!J11+TIME(12,0,0),1)</f>
        <v>0.69791666666666663</v>
      </c>
      <c r="K17" s="58">
        <f>MOD(EST!K11+TIME(12,0,0),1)</f>
        <v>0.9375</v>
      </c>
      <c r="L17" s="58">
        <f>MOD(EST!L11+TIME(12,0,0),1)</f>
        <v>0.8125</v>
      </c>
      <c r="M17" s="58">
        <f>MOD(EST!M11+TIME(12,0,0),1)</f>
        <v>4.1666666666666519E-2</v>
      </c>
      <c r="N17" s="57" t="str">
        <f>EST!N11</f>
        <v>Anmecha Valencia</v>
      </c>
      <c r="O17" s="57" t="s">
        <v>137</v>
      </c>
      <c r="P17" s="57">
        <f t="shared" si="1"/>
        <v>0</v>
      </c>
    </row>
    <row r="18" spans="1:16" x14ac:dyDescent="0.3">
      <c r="A18" s="57" t="str">
        <f>Table2[[#This Row],[Name]]</f>
        <v>Dharlyn Grej Estillore</v>
      </c>
      <c r="B1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1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s="57" t="str">
        <f t="shared" si="2"/>
        <v>Fri - Sat - Sun</v>
      </c>
      <c r="J18" s="58">
        <f>MOD(EST!J23+TIME(12,0,0),1)</f>
        <v>0.39583333333333348</v>
      </c>
      <c r="K18" s="58">
        <f>MOD(EST!K23+TIME(12,0,0),1)</f>
        <v>0.60416666666666663</v>
      </c>
      <c r="L18" s="58">
        <f>MOD(EST!L23+TIME(12,0,0),1)</f>
        <v>0.47916666666666652</v>
      </c>
      <c r="M18" s="58">
        <f>MOD(EST!M23+TIME(12,0,0),1)</f>
        <v>0.6875</v>
      </c>
      <c r="N18" s="57" t="str">
        <f>EST!N23</f>
        <v>Christopher Rodas</v>
      </c>
      <c r="O18" s="57" t="s">
        <v>41</v>
      </c>
      <c r="P18" s="57">
        <f t="shared" si="1"/>
        <v>0</v>
      </c>
    </row>
    <row r="19" spans="1:16" x14ac:dyDescent="0.3">
      <c r="A19" s="57" t="str">
        <f>Table2[[#This Row],[Name]]</f>
        <v>Eduardo Jacinto</v>
      </c>
      <c r="B1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s="57" t="str">
        <f t="shared" si="2"/>
        <v>Thu - Sat - Sun</v>
      </c>
      <c r="J19" s="58">
        <f>MOD(EST!J31+TIME(12,0,0),1)</f>
        <v>0.91666666666666674</v>
      </c>
      <c r="K19" s="58">
        <f>MOD(EST!K31+TIME(12,0,0),1)</f>
        <v>0.14583333333333348</v>
      </c>
      <c r="L19" s="58">
        <f>MOD(EST!L31+TIME(12,0,0),1)</f>
        <v>0</v>
      </c>
      <c r="M19" s="58">
        <f>MOD(EST!M31+TIME(12,0,0),1)</f>
        <v>0.25</v>
      </c>
      <c r="N19" s="57" t="str">
        <f>EST!N31</f>
        <v>Manilyn Abellar</v>
      </c>
      <c r="O19" s="57" t="s">
        <v>41</v>
      </c>
      <c r="P19" s="57">
        <f t="shared" si="1"/>
        <v>0</v>
      </c>
    </row>
    <row r="20" spans="1:16" x14ac:dyDescent="0.3">
      <c r="A20" s="57" t="str">
        <f>Table2[[#This Row],[Name]]</f>
        <v>Elijah Jeremy Racca</v>
      </c>
      <c r="B2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s="57" t="str">
        <f t="shared" si="2"/>
        <v>Wed - Sat - Sun</v>
      </c>
      <c r="J20" s="58">
        <f>MOD(EST!J22+TIME(12,0,0),1)</f>
        <v>0.125</v>
      </c>
      <c r="K20" s="58">
        <f>MOD(EST!K22+TIME(12,0,0),1)</f>
        <v>0.21875</v>
      </c>
      <c r="L20" s="58">
        <f>MOD(EST!L22+TIME(12,0,0),1)</f>
        <v>0.3125</v>
      </c>
      <c r="M20" s="58">
        <f>MOD(EST!M22+TIME(12,0,0),1)</f>
        <v>0.4375</v>
      </c>
      <c r="N20" s="57" t="str">
        <f>EST!N22</f>
        <v>Christopher Rodas</v>
      </c>
      <c r="O20" s="57" t="s">
        <v>65</v>
      </c>
      <c r="P20" s="57">
        <f t="shared" si="1"/>
        <v>0</v>
      </c>
    </row>
    <row r="21" spans="1:16" x14ac:dyDescent="0.3">
      <c r="A21" s="57" t="str">
        <f>Table2[[#This Row],[Name]]</f>
        <v>Eljhon Mar Cabalida</v>
      </c>
      <c r="B2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s="57" t="str">
        <f t="shared" si="2"/>
        <v>Wed - Sat - Sun</v>
      </c>
      <c r="J21" s="58">
        <f>MOD(EST!J34+TIME(12,0,0),1)</f>
        <v>0.45833333333333348</v>
      </c>
      <c r="K21" s="58">
        <f>MOD(EST!K34+TIME(12,0,0),1)</f>
        <v>0.5625</v>
      </c>
      <c r="L21" s="58">
        <f>MOD(EST!L34+TIME(12,0,0),1)</f>
        <v>0.66666666666666663</v>
      </c>
      <c r="M21" s="58">
        <f>MOD(EST!M34+TIME(12,0,0),1)</f>
        <v>0.79166666666666674</v>
      </c>
      <c r="N21" s="57" t="str">
        <f>EST!N34</f>
        <v>Anmecha Valencia</v>
      </c>
      <c r="O21" s="57" t="s">
        <v>65</v>
      </c>
      <c r="P21" s="57">
        <f t="shared" si="1"/>
        <v>0</v>
      </c>
    </row>
    <row r="22" spans="1:16" x14ac:dyDescent="0.3">
      <c r="A22" s="57" t="str">
        <f>Table2[[#This Row],[Name]]</f>
        <v>Erica Mae Villamor</v>
      </c>
      <c r="B2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2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2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01:00 - 12:00</v>
      </c>
      <c r="H2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22" s="57" t="str">
        <f t="shared" si="2"/>
        <v>Tue - Wed - Thu</v>
      </c>
      <c r="J22" s="58">
        <f>MOD(EST!J37+TIME(12,0,0),1)</f>
        <v>0.625</v>
      </c>
      <c r="K22" s="58">
        <f>MOD(EST!K37+TIME(12,0,0),1)</f>
        <v>0.71875</v>
      </c>
      <c r="L22" s="58">
        <f>MOD(EST!L37+TIME(12,0,0),1)</f>
        <v>0.5</v>
      </c>
      <c r="M22" s="58">
        <f>MOD(EST!M37+TIME(12,0,0),1)</f>
        <v>0.79166666666666674</v>
      </c>
      <c r="N22" s="57" t="str">
        <f>EST!N37</f>
        <v>Remmo Panaligan</v>
      </c>
      <c r="O22" s="57" t="s">
        <v>65</v>
      </c>
      <c r="P22" s="57">
        <f t="shared" si="1"/>
        <v>0</v>
      </c>
    </row>
    <row r="23" spans="1:16" x14ac:dyDescent="0.3">
      <c r="A23" s="57" t="str">
        <f>Table2[[#This Row],[Name]]</f>
        <v>France Bajao</v>
      </c>
      <c r="B2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2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2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2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2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s="57" t="str">
        <f t="shared" si="2"/>
        <v>Thu - Fri - Sun</v>
      </c>
      <c r="J23" s="58">
        <f>MOD(EST!J59+TIME(12,0,0),1)</f>
        <v>0.58333333333333337</v>
      </c>
      <c r="K23" s="58">
        <f>MOD(EST!K59+TIME(12,0,0),1)</f>
        <v>0.66666666666666663</v>
      </c>
      <c r="L23" s="58">
        <f>MOD(EST!L59+TIME(12,0,0),1)</f>
        <v>0.79166666666666674</v>
      </c>
      <c r="M23" s="58">
        <f>MOD(EST!M59+TIME(12,0,0),1)</f>
        <v>0.91666666666666674</v>
      </c>
      <c r="N23" s="57" t="str">
        <f>EST!N59</f>
        <v>Chris Borromeo</v>
      </c>
      <c r="O23" s="57" t="s">
        <v>53</v>
      </c>
      <c r="P23" s="57">
        <f t="shared" si="1"/>
        <v>0</v>
      </c>
    </row>
    <row r="24" spans="1:16" x14ac:dyDescent="0.3">
      <c r="A24" s="57" t="str">
        <f>Table2[[#This Row],[Name]]</f>
        <v>Giselle Florendo</v>
      </c>
      <c r="B2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2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2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2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2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4" s="57" t="str">
        <f t="shared" si="2"/>
        <v>Fri - Sat - Sun</v>
      </c>
      <c r="J24" s="58">
        <f>MOD(EST!J24+TIME(12,0,0),1)</f>
        <v>0.84375</v>
      </c>
      <c r="K24" s="58">
        <f>MOD(EST!K24+TIME(12,0,0),1)</f>
        <v>6.25E-2</v>
      </c>
      <c r="L24" s="58">
        <f>MOD(EST!L24+TIME(12,0,0),1)</f>
        <v>0.9375</v>
      </c>
      <c r="M24" s="58">
        <f>MOD(EST!M24+TIME(12,0,0),1)</f>
        <v>0.15625</v>
      </c>
      <c r="N24" s="57" t="str">
        <f>EST!N24</f>
        <v>Remmo Panaligan</v>
      </c>
      <c r="O24" s="57" t="s">
        <v>111</v>
      </c>
      <c r="P24" s="57">
        <f t="shared" si="1"/>
        <v>0</v>
      </c>
    </row>
    <row r="25" spans="1:16" x14ac:dyDescent="0.3">
      <c r="A25" s="57" t="str">
        <f>Table2[[#This Row],[Name]]</f>
        <v>Jackyleen Caballero</v>
      </c>
      <c r="B2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2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2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2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25" s="57" t="str">
        <f t="shared" si="2"/>
        <v>Thu - Fri - Sat</v>
      </c>
      <c r="J25" s="58">
        <f>MOD(EST!J5+TIME(12,0,0),1)</f>
        <v>0.88541666666666674</v>
      </c>
      <c r="K25" s="58">
        <f>MOD(EST!K5+TIME(12,0,0),1)</f>
        <v>0.11458333333333348</v>
      </c>
      <c r="L25" s="58">
        <f>MOD(EST!L5+TIME(12,0,0),1)</f>
        <v>0.96875</v>
      </c>
      <c r="M25" s="58">
        <f>MOD(EST!M5+TIME(12,0,0),1)</f>
        <v>0.21875</v>
      </c>
      <c r="N25" s="57" t="str">
        <f>EST!N5</f>
        <v>Manilyn Abellar</v>
      </c>
      <c r="O25" s="57" t="s">
        <v>138</v>
      </c>
      <c r="P25" s="57">
        <f t="shared" si="1"/>
        <v>0</v>
      </c>
    </row>
    <row r="26" spans="1:16" x14ac:dyDescent="0.3">
      <c r="A26" s="57" t="str">
        <f>Table2[[#This Row],[Name]]</f>
        <v>James Kim Malatag</v>
      </c>
      <c r="B2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s="57" t="str">
        <f t="shared" si="2"/>
        <v>Fri - Sat - Sun</v>
      </c>
      <c r="J26" s="58">
        <f>MOD(EST!J13+TIME(12,0,0),1)</f>
        <v>0.89583333333333326</v>
      </c>
      <c r="K26" s="58">
        <f>MOD(EST!K13+TIME(12,0,0),1)</f>
        <v>0.10416666666666652</v>
      </c>
      <c r="L26" s="58">
        <f>MOD(EST!L13+TIME(12,0,0),1)</f>
        <v>0.97916666666666674</v>
      </c>
      <c r="M26" s="58">
        <f>MOD(EST!M13+TIME(12,0,0),1)</f>
        <v>0.22916666666666652</v>
      </c>
      <c r="N26" s="57" t="str">
        <f>EST!N13</f>
        <v>Christopher Rodas</v>
      </c>
      <c r="O26" s="57" t="s">
        <v>138</v>
      </c>
      <c r="P26" s="57">
        <f t="shared" si="1"/>
        <v>0</v>
      </c>
    </row>
    <row r="27" spans="1:16" x14ac:dyDescent="0.3">
      <c r="A27" s="57" t="str">
        <f>Table2[[#This Row],[Name]]</f>
        <v>James Matthew Santos</v>
      </c>
      <c r="B2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s="57" t="str">
        <f t="shared" si="2"/>
        <v>Wed - Sat - Sun</v>
      </c>
      <c r="J27" s="58">
        <f>MOD(EST!J16+TIME(12,0,0),1)</f>
        <v>0.97916666666666674</v>
      </c>
      <c r="K27" s="58">
        <f>MOD(EST!K16+TIME(12,0,0),1)</f>
        <v>0.22916666666666652</v>
      </c>
      <c r="L27" s="58">
        <f>MOD(EST!L16+TIME(12,0,0),1)</f>
        <v>0.10416666666666652</v>
      </c>
      <c r="M27" s="58">
        <f>MOD(EST!M16+TIME(12,0,0),1)</f>
        <v>0.30208333333333348</v>
      </c>
      <c r="N27" s="57" t="str">
        <f>EST!N16</f>
        <v>Manilyn Abellar</v>
      </c>
      <c r="O27" s="57" t="s">
        <v>32</v>
      </c>
      <c r="P27" s="57">
        <f t="shared" si="1"/>
        <v>0</v>
      </c>
    </row>
    <row r="28" spans="1:16" x14ac:dyDescent="0.3">
      <c r="A28" s="57" t="str">
        <f>Table2[[#This Row],[Name]]</f>
        <v>Jayson Pescadero</v>
      </c>
      <c r="B2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2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2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2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2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8" s="57" t="str">
        <f t="shared" si="2"/>
        <v>Fri - Sat - Sun</v>
      </c>
      <c r="J28" s="58">
        <f>MOD(EST!J20+TIME(12,0,0),1)</f>
        <v>0.98958333333333326</v>
      </c>
      <c r="K28" s="58">
        <f>MOD(EST!K20+TIME(12,0,0),1)</f>
        <v>7.2916666666666519E-2</v>
      </c>
      <c r="L28" s="58">
        <f>MOD(EST!L20+TIME(12,0,0),1)</f>
        <v>0.16666666666666652</v>
      </c>
      <c r="M28" s="58">
        <f>MOD(EST!M20+TIME(12,0,0),1)</f>
        <v>0.25</v>
      </c>
      <c r="N28" s="57" t="str">
        <f>EST!N20</f>
        <v>Anmecha Valencia</v>
      </c>
      <c r="O28" s="57" t="s">
        <v>32</v>
      </c>
      <c r="P28" s="57">
        <f t="shared" si="1"/>
        <v>0</v>
      </c>
    </row>
    <row r="29" spans="1:16" x14ac:dyDescent="0.3">
      <c r="A29" s="57" t="str">
        <f>Table2[[#This Row],[Name]]</f>
        <v>Jeffryl Joe Pardillo</v>
      </c>
      <c r="B2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2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2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2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29" s="57" t="str">
        <f t="shared" si="2"/>
        <v>Thu - Fri - Sat</v>
      </c>
      <c r="J29" s="58">
        <f>MOD(EST!J25+TIME(12,0,0),1)</f>
        <v>0.80208333333333326</v>
      </c>
      <c r="K29" s="58">
        <f>MOD(EST!K25+TIME(12,0,0),1)</f>
        <v>4.1666666666666519E-2</v>
      </c>
      <c r="L29" s="58">
        <f>MOD(EST!L25+TIME(12,0,0),1)</f>
        <v>0.91666666666666674</v>
      </c>
      <c r="M29" s="58">
        <f>MOD(EST!M25+TIME(12,0,0),1)</f>
        <v>0.14583333333333348</v>
      </c>
      <c r="N29" s="57" t="str">
        <f>EST!N25</f>
        <v>Christopher Rodas</v>
      </c>
      <c r="O29" s="57" t="s">
        <v>32</v>
      </c>
      <c r="P29" s="57">
        <f t="shared" si="1"/>
        <v>0</v>
      </c>
    </row>
    <row r="30" spans="1:16" x14ac:dyDescent="0.3">
      <c r="A30" s="57" t="str">
        <f>Table2[[#This Row],[Name]]</f>
        <v>Jesse Owen Rama</v>
      </c>
      <c r="B3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3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3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3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3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s="57" t="str">
        <f t="shared" si="2"/>
        <v>Mon - Thu - Sun</v>
      </c>
      <c r="J30" s="58">
        <f>MOD(EST!J29+TIME(12,0,0),1)</f>
        <v>0.65625</v>
      </c>
      <c r="K30" s="58">
        <f>MOD(EST!K29+TIME(12,0,0),1)</f>
        <v>0.875</v>
      </c>
      <c r="L30" s="58">
        <f>MOD(EST!L29+TIME(12,0,0),1)</f>
        <v>0.75</v>
      </c>
      <c r="M30" s="58">
        <f>MOD(EST!M29+TIME(12,0,0),1)</f>
        <v>0.97916666666666674</v>
      </c>
      <c r="N30" s="57" t="str">
        <f>EST!N29</f>
        <v>Christopher Rodas</v>
      </c>
      <c r="O30" s="57" t="s">
        <v>32</v>
      </c>
      <c r="P30" s="57">
        <f t="shared" si="1"/>
        <v>0</v>
      </c>
    </row>
    <row r="31" spans="1:16" x14ac:dyDescent="0.3">
      <c r="A31" s="57" t="str">
        <f>Table2[[#This Row],[Name]]</f>
        <v>Jeycel Roxas</v>
      </c>
      <c r="B3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3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3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3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3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1" s="57" t="str">
        <f t="shared" si="2"/>
        <v>Tue - Sat - Sun</v>
      </c>
      <c r="J31" s="58">
        <f>MOD(EST!J39+TIME(12,0,0),1)</f>
        <v>0.84375</v>
      </c>
      <c r="K31" s="58">
        <f>MOD(EST!K39+TIME(12,0,0),1)</f>
        <v>3.125E-2</v>
      </c>
      <c r="L31" s="58">
        <f>MOD(EST!L39+TIME(12,0,0),1)</f>
        <v>0.91666666666666674</v>
      </c>
      <c r="M31" s="58">
        <f>MOD(EST!M39+TIME(12,0,0),1)</f>
        <v>0.125</v>
      </c>
      <c r="N31" s="57" t="str">
        <f>EST!N39</f>
        <v>Christopher Rodas</v>
      </c>
      <c r="O31" s="57" t="s">
        <v>32</v>
      </c>
      <c r="P31" s="57">
        <f t="shared" si="1"/>
        <v>0</v>
      </c>
    </row>
    <row r="32" spans="1:16" x14ac:dyDescent="0.3">
      <c r="A32" s="57" t="str">
        <f>Table2[[#This Row],[Name]]</f>
        <v>Jhanelle Jane Didato</v>
      </c>
      <c r="B3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3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3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3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32" s="57" t="str">
        <f t="shared" si="2"/>
        <v>Mon - Tue - Wed</v>
      </c>
      <c r="J32" s="58">
        <f>MOD(EST!J32+TIME(12,0,0),1)</f>
        <v>8.3333333333333481E-2</v>
      </c>
      <c r="K32" s="58">
        <f>MOD(EST!K32+TIME(12,0,0),1)</f>
        <v>0.3125</v>
      </c>
      <c r="L32" s="58">
        <f>MOD(EST!L32+TIME(12,0,0),1)</f>
        <v>0.17708333333333348</v>
      </c>
      <c r="M32" s="58">
        <f>MOD(EST!M32+TIME(12,0,0),1)</f>
        <v>0.41666666666666652</v>
      </c>
      <c r="N32" s="57" t="str">
        <f>EST!N32</f>
        <v>Manilyn Abellar</v>
      </c>
      <c r="O32" s="57" t="s">
        <v>36</v>
      </c>
      <c r="P32" s="57">
        <f t="shared" si="1"/>
        <v>1</v>
      </c>
    </row>
    <row r="33" spans="1:16" x14ac:dyDescent="0.3">
      <c r="A33" s="57" t="str">
        <f>Table2[[#This Row],[Name]]</f>
        <v>Jhonrey Jotojot</v>
      </c>
      <c r="B3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3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3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3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3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3" s="57" t="str">
        <f t="shared" si="2"/>
        <v>Mon - Sat - Sun</v>
      </c>
      <c r="J33" s="58">
        <f>MOD(EST!J33+TIME(12,0,0),1)</f>
        <v>0.80208333333333326</v>
      </c>
      <c r="K33" s="58">
        <f>MOD(EST!K33+TIME(12,0,0),1)</f>
        <v>0.96875</v>
      </c>
      <c r="L33" s="58">
        <f>MOD(EST!L33+TIME(12,0,0),1)</f>
        <v>0.88541666666666674</v>
      </c>
      <c r="M33" s="58">
        <f>MOD(EST!M33+TIME(12,0,0),1)</f>
        <v>8.3333333333333481E-2</v>
      </c>
      <c r="N33" s="57" t="str">
        <f>EST!N33</f>
        <v>Manilyn Abellar</v>
      </c>
      <c r="O33" s="57" t="s">
        <v>81</v>
      </c>
      <c r="P33" s="57">
        <f t="shared" si="1"/>
        <v>0</v>
      </c>
    </row>
    <row r="34" spans="1:16" x14ac:dyDescent="0.3">
      <c r="A34" s="57" t="str">
        <f>Table2[[#This Row],[Name]]</f>
        <v>Jieleen Villegas</v>
      </c>
      <c r="B3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09:00 - 20:00</v>
      </c>
      <c r="E3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34" s="57" t="str">
        <f t="shared" si="2"/>
        <v>Thu - Fri - Sat</v>
      </c>
      <c r="J34" s="58">
        <f>MOD(EST!J41+TIME(12,0,0),1)</f>
        <v>0.92708333333333326</v>
      </c>
      <c r="K34" s="58">
        <f>MOD(EST!K41+TIME(12,0,0),1)</f>
        <v>0.13541666666666652</v>
      </c>
      <c r="L34" s="58">
        <f>MOD(EST!L41+TIME(12,0,0),1)</f>
        <v>1.0416666666666519E-2</v>
      </c>
      <c r="M34" s="58">
        <f>MOD(EST!M41+TIME(12,0,0),1)</f>
        <v>0.23958333333333348</v>
      </c>
      <c r="N34" s="57" t="str">
        <f>EST!N41</f>
        <v>Remmo Panaligan</v>
      </c>
      <c r="O34" s="57" t="s">
        <v>32</v>
      </c>
      <c r="P34" s="57">
        <f t="shared" si="1"/>
        <v>0</v>
      </c>
    </row>
    <row r="35" spans="1:16" x14ac:dyDescent="0.3">
      <c r="A35" s="57" t="str">
        <f>Table2[[#This Row],[Name]]</f>
        <v>Joanah Carl Anoling</v>
      </c>
      <c r="B3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3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3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3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3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5" s="57" t="str">
        <f t="shared" si="2"/>
        <v>Mon - Tue - Sun</v>
      </c>
      <c r="J35" s="58">
        <f>MOD(EST!J8+TIME(12,0,0),1)</f>
        <v>0.97916666666666674</v>
      </c>
      <c r="K35" s="58">
        <f>MOD(EST!K8+TIME(12,0,0),1)</f>
        <v>0.125</v>
      </c>
      <c r="L35" s="58">
        <f>MOD(EST!L8+TIME(12,0,0),1)</f>
        <v>5.2083333333333481E-2</v>
      </c>
      <c r="M35" s="58">
        <f>MOD(EST!M8+TIME(12,0,0),1)</f>
        <v>0.27083333333333348</v>
      </c>
      <c r="N35" s="57" t="str">
        <f>EST!N8</f>
        <v>Michael Dominguez</v>
      </c>
      <c r="O35" s="57" t="s">
        <v>84</v>
      </c>
      <c r="P35" s="57">
        <f t="shared" si="1"/>
        <v>0</v>
      </c>
    </row>
    <row r="36" spans="1:16" x14ac:dyDescent="0.3">
      <c r="A36" s="57" t="str">
        <f>Table2[[#This Row],[Name]]</f>
        <v>Joemie Ann Benedicto</v>
      </c>
      <c r="B3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3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3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s="57" t="str">
        <f t="shared" si="2"/>
        <v>Fri - Sat - Sun</v>
      </c>
      <c r="J36" s="58">
        <f>MOD(EST!J36+TIME(12,0,0),1)</f>
        <v>0.83333333333333326</v>
      </c>
      <c r="K36" s="58">
        <f>MOD(EST!K36+TIME(12,0,0),1)</f>
        <v>5.2083333333333481E-2</v>
      </c>
      <c r="L36" s="58">
        <f>MOD(EST!L36+TIME(12,0,0),1)</f>
        <v>0.92708333333333326</v>
      </c>
      <c r="M36" s="58">
        <f>MOD(EST!M36+TIME(12,0,0),1)</f>
        <v>0.14583333333333348</v>
      </c>
      <c r="N36" s="57" t="str">
        <f>EST!N36</f>
        <v>Remmo Panaligan</v>
      </c>
      <c r="O36" s="57" t="s">
        <v>17</v>
      </c>
      <c r="P36" s="57">
        <f t="shared" si="1"/>
        <v>1</v>
      </c>
    </row>
    <row r="37" spans="1:16" x14ac:dyDescent="0.3">
      <c r="A37" s="57" t="str">
        <f>Table2[[#This Row],[Name]]</f>
        <v>Joseph Brian Nagor</v>
      </c>
      <c r="B3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3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3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7" s="57" t="str">
        <f t="shared" ref="I37:I59" si="3">_xlfn.TEXTJOIN(" - ",TRUE,
IF(B37="OFF","Mon",""),
IF(C37="OFF","Tue",""),
IF(D37="OFF","Wed",""),
IF(E37="OFF","Thu",""),
IF(F37="OFF","Fri",""),
IF(G37="OFF","Sat",""),
IF(H37="OFF","Sun",""))</f>
        <v>Wed - Thu - Sun</v>
      </c>
      <c r="J37" s="58">
        <f>MOD(EST!J9+TIME(12,0,0),1)</f>
        <v>0.29166666666666652</v>
      </c>
      <c r="K37" s="58">
        <f>MOD(EST!K9+TIME(12,0,0),1)</f>
        <v>0.52083333333333337</v>
      </c>
      <c r="L37" s="58">
        <f>MOD(EST!L9+TIME(12,0,0),1)</f>
        <v>0.375</v>
      </c>
      <c r="M37" s="58">
        <f>MOD(EST!M9+TIME(12,0,0),1)</f>
        <v>0.61458333333333337</v>
      </c>
      <c r="N37" s="57" t="str">
        <f>EST!N9</f>
        <v>Christopher Rodas</v>
      </c>
      <c r="O37" s="57" t="s">
        <v>84</v>
      </c>
      <c r="P37" s="57">
        <f t="shared" si="1"/>
        <v>0</v>
      </c>
    </row>
    <row r="38" spans="1:16" x14ac:dyDescent="0.3">
      <c r="A38" s="57" t="str">
        <f>Table2[[#This Row],[Name]]</f>
        <v>Josephraim Lamoste</v>
      </c>
      <c r="B3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3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8" s="57" t="str">
        <f t="shared" si="3"/>
        <v>Mon - Sat - Sun</v>
      </c>
      <c r="J38" s="58">
        <f>MOD(EST!J12+TIME(12,0,0),1)</f>
        <v>0.95833333333333326</v>
      </c>
      <c r="K38" s="58">
        <f>MOD(EST!K12+TIME(12,0,0),1)</f>
        <v>4.1666666666666519E-2</v>
      </c>
      <c r="L38" s="58">
        <f>MOD(EST!L12+TIME(12,0,0),1)</f>
        <v>0.14583333333333348</v>
      </c>
      <c r="M38" s="58">
        <f>MOD(EST!M12+TIME(12,0,0),1)</f>
        <v>0.26041666666666652</v>
      </c>
      <c r="N38" s="57" t="str">
        <f>EST!N12</f>
        <v>Michael Dominguez</v>
      </c>
      <c r="O38" s="57" t="s">
        <v>84</v>
      </c>
      <c r="P38" s="57">
        <f t="shared" si="1"/>
        <v>0</v>
      </c>
    </row>
    <row r="39" spans="1:16" x14ac:dyDescent="0.3">
      <c r="A39" s="57" t="str">
        <f>Table2[[#This Row],[Name]]</f>
        <v>Joshua Bagaporo</v>
      </c>
      <c r="B3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3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3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s="57" t="str">
        <f t="shared" si="3"/>
        <v>Mon - Tue - Sun</v>
      </c>
      <c r="J39" s="58">
        <f>MOD(EST!J18+TIME(12,0,0),1)</f>
        <v>4.1666666666666519E-2</v>
      </c>
      <c r="K39" s="58">
        <f>MOD(EST!K18+TIME(12,0,0),1)</f>
        <v>0.13541666666666652</v>
      </c>
      <c r="L39" s="58">
        <f>MOD(EST!L18+TIME(12,0,0),1)</f>
        <v>0.22916666666666652</v>
      </c>
      <c r="M39" s="58">
        <f>MOD(EST!M18+TIME(12,0,0),1)</f>
        <v>0.35416666666666652</v>
      </c>
      <c r="N39" s="57" t="str">
        <f>EST!N18</f>
        <v>Anmecha Valencia</v>
      </c>
      <c r="O39" s="57" t="s">
        <v>84</v>
      </c>
      <c r="P39" s="57">
        <f t="shared" si="1"/>
        <v>0</v>
      </c>
    </row>
    <row r="40" spans="1:16" x14ac:dyDescent="0.3">
      <c r="A40" s="57" t="str">
        <f>Table2[[#This Row],[Name]]</f>
        <v>Joshua Mendoza</v>
      </c>
      <c r="B4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s="57" t="str">
        <f t="shared" si="3"/>
        <v>Thu - Sat - Sun</v>
      </c>
      <c r="J40" s="58">
        <f>MOD(EST!J19+TIME(12,0,0),1)</f>
        <v>0.95833333333333326</v>
      </c>
      <c r="K40" s="58">
        <f>MOD(EST!K19+TIME(12,0,0),1)</f>
        <v>7.2916666666666519E-2</v>
      </c>
      <c r="L40" s="58">
        <f>MOD(EST!L19+TIME(12,0,0),1)</f>
        <v>0.14583333333333348</v>
      </c>
      <c r="M40" s="58">
        <f>MOD(EST!M19+TIME(12,0,0),1)</f>
        <v>0.27083333333333348</v>
      </c>
      <c r="N40" s="57" t="str">
        <f>EST!N19</f>
        <v>Anmecha Valencia</v>
      </c>
      <c r="O40" s="57" t="s">
        <v>84</v>
      </c>
      <c r="P40" s="57">
        <f t="shared" si="1"/>
        <v>0</v>
      </c>
    </row>
    <row r="41" spans="1:16" x14ac:dyDescent="0.3">
      <c r="A41" s="57" t="str">
        <f>Table2[[#This Row],[Name]]</f>
        <v>Juvy Labong</v>
      </c>
      <c r="B4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1" s="57" t="str">
        <f t="shared" si="3"/>
        <v>Tue - Sat - Sun</v>
      </c>
      <c r="J41" s="58">
        <f>MOD(EST!J38+TIME(12,0,0),1)</f>
        <v>0.125</v>
      </c>
      <c r="K41" s="58">
        <f>MOD(EST!K38+TIME(12,0,0),1)</f>
        <v>0.375</v>
      </c>
      <c r="L41" s="58">
        <f>MOD(EST!L38+TIME(12,0,0),1)</f>
        <v>0.25</v>
      </c>
      <c r="M41" s="58">
        <f>MOD(EST!M38+TIME(12,0,0),1)</f>
        <v>0.47916666666666652</v>
      </c>
      <c r="N41" s="57" t="str">
        <f>EST!N38</f>
        <v>Manilyn Abellar</v>
      </c>
      <c r="O41" s="57" t="s">
        <v>84</v>
      </c>
      <c r="P41" s="57">
        <f t="shared" si="1"/>
        <v>0</v>
      </c>
    </row>
    <row r="42" spans="1:16" x14ac:dyDescent="0.3">
      <c r="A42" s="57" t="str">
        <f>Table2[[#This Row],[Name]]</f>
        <v>Kathleen Melecio</v>
      </c>
      <c r="B4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10:30 - 21:30</v>
      </c>
      <c r="D4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10:30 - 21:30</v>
      </c>
      <c r="E4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10:30 - 21:30</v>
      </c>
      <c r="F4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10:30 - 21:30</v>
      </c>
      <c r="I42" s="57" t="str">
        <f t="shared" si="3"/>
        <v>Mon - Fri - Sat</v>
      </c>
      <c r="J42" s="58">
        <f>MOD(EST!J42+TIME(12,0,0),1)</f>
        <v>0.55208333333333337</v>
      </c>
      <c r="K42" s="58">
        <f>MOD(EST!K42+TIME(12,0,0),1)</f>
        <v>0.77083333333333326</v>
      </c>
      <c r="L42" s="58">
        <f>MOD(EST!L42+TIME(12,0,0),1)</f>
        <v>0.625</v>
      </c>
      <c r="M42" s="58">
        <f>MOD(EST!M42+TIME(12,0,0),1)</f>
        <v>0.85416666666666674</v>
      </c>
      <c r="N42" s="57" t="str">
        <f>EST!N42</f>
        <v>Christopher Rodas</v>
      </c>
      <c r="O42" s="57" t="s">
        <v>70</v>
      </c>
      <c r="P42" s="57">
        <f t="shared" si="1"/>
        <v>1</v>
      </c>
    </row>
    <row r="43" spans="1:16" x14ac:dyDescent="0.3">
      <c r="A43" s="57" t="str">
        <f>Table2[[#This Row],[Name]]</f>
        <v>Kenneth Oribello</v>
      </c>
      <c r="B4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s="57" t="str">
        <f t="shared" si="3"/>
        <v>Wed - Sat - Sun</v>
      </c>
      <c r="J43" s="58">
        <f>MOD(EST!J43+TIME(12,0,0),1)</f>
        <v>0.9375</v>
      </c>
      <c r="K43" s="58">
        <f>MOD(EST!K43+TIME(12,0,0),1)</f>
        <v>0.1875</v>
      </c>
      <c r="L43" s="58">
        <f>MOD(EST!L43+TIME(12,0,0),1)</f>
        <v>6.25E-2</v>
      </c>
      <c r="M43" s="58">
        <f>MOD(EST!M43+TIME(12,0,0),1)</f>
        <v>0.25</v>
      </c>
      <c r="N43" s="57" t="str">
        <f>EST!N43</f>
        <v>Michael Dominguez</v>
      </c>
      <c r="O43" s="57" t="s">
        <v>32</v>
      </c>
      <c r="P43" s="57">
        <f t="shared" si="1"/>
        <v>0</v>
      </c>
    </row>
    <row r="44" spans="1:16" x14ac:dyDescent="0.3">
      <c r="A44" s="57" t="str">
        <f>Table2[[#This Row],[Name]]</f>
        <v>Kirby Santos</v>
      </c>
      <c r="B4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4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4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4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4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4" s="57" t="str">
        <f t="shared" si="3"/>
        <v>Mon - Tue - Sun</v>
      </c>
      <c r="J44" s="58">
        <f>MOD(EST!J44+TIME(12,0,0),1)</f>
        <v>0.3125</v>
      </c>
      <c r="K44" s="58">
        <f>MOD(EST!K44+TIME(12,0,0),1)</f>
        <v>0.5</v>
      </c>
      <c r="L44" s="58">
        <f>MOD(EST!L44+TIME(12,0,0),1)</f>
        <v>0.40625</v>
      </c>
      <c r="M44" s="58">
        <f>MOD(EST!M44+TIME(12,0,0),1)</f>
        <v>0.60416666666666663</v>
      </c>
      <c r="N44" s="57" t="str">
        <f>EST!N44</f>
        <v>Manilyn Abellar</v>
      </c>
      <c r="O44" s="57" t="s">
        <v>84</v>
      </c>
      <c r="P44" s="57">
        <f t="shared" si="1"/>
        <v>0</v>
      </c>
    </row>
    <row r="45" spans="1:16" x14ac:dyDescent="0.3">
      <c r="A45" s="57" t="str">
        <f>Table2[[#This Row],[Name]]</f>
        <v>Lanz Jason Medallo</v>
      </c>
      <c r="B4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5" s="57" t="str">
        <f t="shared" si="3"/>
        <v>Wed - Sat - Sun</v>
      </c>
      <c r="J45" s="58">
        <f>MOD(EST!J45+TIME(12,0,0),1)</f>
        <v>0.91666666666666674</v>
      </c>
      <c r="K45" s="58">
        <f>MOD(EST!K45+TIME(12,0,0),1)</f>
        <v>0.125</v>
      </c>
      <c r="L45" s="58">
        <f>MOD(EST!L45+TIME(12,0,0),1)</f>
        <v>0</v>
      </c>
      <c r="M45" s="58">
        <f>MOD(EST!M45+TIME(12,0,0),1)</f>
        <v>0.21875</v>
      </c>
      <c r="N45" s="57" t="str">
        <f>EST!N45</f>
        <v>Remmo Panaligan</v>
      </c>
      <c r="O45" s="57" t="s">
        <v>84</v>
      </c>
      <c r="P45" s="57">
        <f t="shared" si="1"/>
        <v>0</v>
      </c>
    </row>
    <row r="46" spans="1:16" x14ac:dyDescent="0.3">
      <c r="A46" s="57" t="str">
        <f>Table2[[#This Row],[Name]]</f>
        <v>Lee Joseph Agbanlog</v>
      </c>
      <c r="B4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s="57" t="str">
        <f t="shared" si="3"/>
        <v>Wed - Sat - Sun</v>
      </c>
      <c r="J46" s="58">
        <f>MOD(EST!J46+TIME(12,0,0),1)</f>
        <v>0.98958333333333326</v>
      </c>
      <c r="K46" s="58">
        <f>MOD(EST!K46+TIME(12,0,0),1)</f>
        <v>0.19791666666666652</v>
      </c>
      <c r="L46" s="58">
        <f>MOD(EST!L46+TIME(12,0,0),1)</f>
        <v>7.2916666666666519E-2</v>
      </c>
      <c r="M46" s="58">
        <f>MOD(EST!M46+TIME(12,0,0),1)</f>
        <v>0.28125</v>
      </c>
      <c r="N46" s="57" t="str">
        <f>EST!N46</f>
        <v>Michael Dominguez</v>
      </c>
      <c r="O46" s="57" t="s">
        <v>139</v>
      </c>
      <c r="P46" s="57">
        <f t="shared" si="1"/>
        <v>1</v>
      </c>
    </row>
    <row r="47" spans="1:16" x14ac:dyDescent="0.3">
      <c r="A47" s="57" t="str">
        <f>Table2[[#This Row],[Name]]</f>
        <v>Lovelyn Nicole Magcuyao</v>
      </c>
      <c r="B4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7" s="57" t="str">
        <f t="shared" si="3"/>
        <v>Fri - Sat - Sun</v>
      </c>
      <c r="J47" s="58">
        <f>MOD(EST!J47+TIME(12,0,0),1)</f>
        <v>0.95833333333333326</v>
      </c>
      <c r="K47" s="58">
        <f>MOD(EST!K47+TIME(12,0,0),1)</f>
        <v>0.17708333333333348</v>
      </c>
      <c r="L47" s="58">
        <f>MOD(EST!L47+TIME(12,0,0),1)</f>
        <v>5.2083333333333481E-2</v>
      </c>
      <c r="M47" s="58">
        <f>MOD(EST!M47+TIME(12,0,0),1)</f>
        <v>0.27083333333333348</v>
      </c>
      <c r="N47" s="57" t="str">
        <f>EST!N47</f>
        <v>Anmecha Valencia</v>
      </c>
      <c r="O47" s="57" t="s">
        <v>84</v>
      </c>
      <c r="P47" s="57">
        <f t="shared" si="1"/>
        <v>0</v>
      </c>
    </row>
    <row r="48" spans="1:16" x14ac:dyDescent="0.3">
      <c r="A48" s="57" t="str">
        <f>Table2[[#This Row],[Name]]</f>
        <v>Manueleth Nardo</v>
      </c>
      <c r="B4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06:30 - 17:30</v>
      </c>
      <c r="F4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06:30 - 17:30</v>
      </c>
      <c r="G4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06:30 - 17:30</v>
      </c>
      <c r="H4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06:30 - 17:30</v>
      </c>
      <c r="I48" s="57" t="str">
        <f t="shared" si="3"/>
        <v>Mon - Tue - Wed</v>
      </c>
      <c r="J48" s="58">
        <f>MOD(EST!J48+TIME(12,0,0),1)</f>
        <v>0.35416666666666652</v>
      </c>
      <c r="K48" s="58">
        <f>MOD(EST!K48+TIME(12,0,0),1)</f>
        <v>0.57291666666666663</v>
      </c>
      <c r="L48" s="58">
        <f>MOD(EST!L48+TIME(12,0,0),1)</f>
        <v>0.44791666666666652</v>
      </c>
      <c r="M48" s="58">
        <f>MOD(EST!M48+TIME(12,0,0),1)</f>
        <v>0.67708333333333337</v>
      </c>
      <c r="N48" s="57" t="str">
        <f>EST!N48</f>
        <v>Christopher Rodas</v>
      </c>
      <c r="O48" s="57" t="s">
        <v>84</v>
      </c>
      <c r="P48" s="57">
        <f t="shared" si="1"/>
        <v>0</v>
      </c>
    </row>
    <row r="49" spans="1:16" x14ac:dyDescent="0.3">
      <c r="A49" s="57" t="str">
        <f>Table2[[#This Row],[Name]]</f>
        <v>Marielle Dakila</v>
      </c>
      <c r="B4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9" s="57" t="str">
        <f t="shared" si="3"/>
        <v>Wed - Sat - Sun</v>
      </c>
      <c r="J49" s="58">
        <f>MOD(EST!J49+TIME(12,0,0),1)</f>
        <v>0.97916666666666674</v>
      </c>
      <c r="K49" s="58">
        <f>MOD(EST!K49+TIME(12,0,0),1)</f>
        <v>0.17708333333333348</v>
      </c>
      <c r="L49" s="58">
        <f>MOD(EST!L49+TIME(12,0,0),1)</f>
        <v>7.2916666666666519E-2</v>
      </c>
      <c r="M49" s="58">
        <f>MOD(EST!M49+TIME(12,0,0),1)</f>
        <v>0.28125</v>
      </c>
      <c r="N49" s="57" t="str">
        <f>EST!N49</f>
        <v>Remmo Panaligan</v>
      </c>
      <c r="O49" s="57" t="s">
        <v>41</v>
      </c>
      <c r="P49" s="57">
        <f t="shared" si="1"/>
        <v>0</v>
      </c>
    </row>
    <row r="50" spans="1:16" x14ac:dyDescent="0.3">
      <c r="A50" s="57" t="str">
        <f>Table2[[#This Row],[Name]]</f>
        <v>Marjon Gaebrielle Albay</v>
      </c>
      <c r="B5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5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5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5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0" s="57" t="str">
        <f t="shared" si="3"/>
        <v>Mon - Sat - Sun</v>
      </c>
      <c r="J50" s="58">
        <f>MOD(EST!J54+TIME(12,0,0),1)</f>
        <v>0</v>
      </c>
      <c r="K50" s="58">
        <f>MOD(EST!K54+TIME(12,0,0),1)</f>
        <v>0.22916666666666652</v>
      </c>
      <c r="L50" s="58">
        <f>MOD(EST!L54+TIME(12,0,0),1)</f>
        <v>0.10416666666666652</v>
      </c>
      <c r="M50" s="58">
        <f>MOD(EST!M54+TIME(12,0,0),1)</f>
        <v>0.32291666666666652</v>
      </c>
      <c r="N50" s="57" t="str">
        <f>EST!N54</f>
        <v>Christopher Rodas</v>
      </c>
      <c r="O50" s="57" t="s">
        <v>84</v>
      </c>
      <c r="P50" s="57">
        <f t="shared" si="1"/>
        <v>0</v>
      </c>
    </row>
    <row r="51" spans="1:16" x14ac:dyDescent="0.3">
      <c r="A51" s="57" t="str">
        <f>Table2[[#This Row],[Name]]</f>
        <v>Mark Raymond Mangaser Jr</v>
      </c>
      <c r="B5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17:00 - 04:00</v>
      </c>
      <c r="H5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51" s="57" t="str">
        <f t="shared" si="3"/>
        <v>Wed - Thu - Fri</v>
      </c>
      <c r="J51" s="58">
        <f>MOD(EST!J51+TIME(12,0,0),1)</f>
        <v>0.79166666666666674</v>
      </c>
      <c r="K51" s="58">
        <f>MOD(EST!K51+TIME(12,0,0),1)</f>
        <v>1.0416666666666519E-2</v>
      </c>
      <c r="L51" s="58">
        <f>MOD(EST!L51+TIME(12,0,0),1)</f>
        <v>0.88541666666666674</v>
      </c>
      <c r="M51" s="58">
        <f>MOD(EST!M51+TIME(12,0,0),1)</f>
        <v>0.11458333333333348</v>
      </c>
      <c r="N51" s="57" t="str">
        <f>EST!N51</f>
        <v>Remmo Panaligan</v>
      </c>
      <c r="O51" s="57" t="s">
        <v>72</v>
      </c>
      <c r="P51" s="57">
        <f t="shared" si="1"/>
        <v>1</v>
      </c>
    </row>
    <row r="52" spans="1:16" x14ac:dyDescent="0.3">
      <c r="A52" s="57" t="str">
        <f>Table2[[#This Row],[Name]]</f>
        <v>Mary Angelie Fajardo</v>
      </c>
      <c r="B5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5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5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5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52" s="57" t="str">
        <f t="shared" si="3"/>
        <v>Tue - Wed - Thu</v>
      </c>
      <c r="J52" s="58">
        <f>MOD(EST!J52+TIME(12,0,0),1)</f>
        <v>0.41666666666666652</v>
      </c>
      <c r="K52" s="58">
        <f>MOD(EST!K52+TIME(12,0,0),1)</f>
        <v>0.52083333333333337</v>
      </c>
      <c r="L52" s="58">
        <f>MOD(EST!L52+TIME(12,0,0),1)</f>
        <v>0.60416666666666663</v>
      </c>
      <c r="M52" s="58">
        <f>MOD(EST!M52+TIME(12,0,0),1)</f>
        <v>0.75</v>
      </c>
      <c r="N52" s="57" t="str">
        <f>EST!N52</f>
        <v>Christopher Rodas</v>
      </c>
      <c r="O52" s="57" t="s">
        <v>111</v>
      </c>
      <c r="P52" s="57">
        <f t="shared" si="1"/>
        <v>0</v>
      </c>
    </row>
    <row r="53" spans="1:16" x14ac:dyDescent="0.3">
      <c r="A53" s="57" t="str">
        <f>Table2[[#This Row],[Name]]</f>
        <v>Mary Joy Delos Santos</v>
      </c>
      <c r="B5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5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5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10:00 - 21:00</v>
      </c>
      <c r="F5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5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3" s="57" t="str">
        <f t="shared" si="3"/>
        <v>Mon - Sat - Sun</v>
      </c>
      <c r="J53" s="58">
        <f>MOD(EST!J53+TIME(12,0,0),1)</f>
        <v>0.5</v>
      </c>
      <c r="K53" s="58">
        <f>MOD(EST!K53+TIME(12,0,0),1)</f>
        <v>0.69791666666666663</v>
      </c>
      <c r="L53" s="58">
        <f>MOD(EST!L53+TIME(12,0,0),1)</f>
        <v>0.59375</v>
      </c>
      <c r="M53" s="58">
        <f>MOD(EST!M53+TIME(12,0,0),1)</f>
        <v>0.80208333333333326</v>
      </c>
      <c r="N53" s="57" t="str">
        <f>EST!N53</f>
        <v>Manilyn Abellar</v>
      </c>
      <c r="O53" s="57" t="s">
        <v>84</v>
      </c>
      <c r="P53" s="57">
        <f t="shared" si="1"/>
        <v>0</v>
      </c>
    </row>
    <row r="54" spans="1:16" x14ac:dyDescent="0.3">
      <c r="A54" s="57" t="str">
        <f>Table2[[#This Row],[Name]]</f>
        <v>Mhar Anthony Juezan</v>
      </c>
      <c r="B5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54" s="57" t="str">
        <f t="shared" si="3"/>
        <v>Mon - Tue - Wed</v>
      </c>
      <c r="J54" s="58">
        <f>MOD(EST!J17+TIME(12,0,0),1)</f>
        <v>0.9375</v>
      </c>
      <c r="K54" s="58">
        <f>MOD(EST!K17+TIME(12,0,0),1)</f>
        <v>0.14583333333333348</v>
      </c>
      <c r="L54" s="58">
        <f>MOD(EST!L17+TIME(12,0,0),1)</f>
        <v>2.0833333333333481E-2</v>
      </c>
      <c r="M54" s="58">
        <f>MOD(EST!M17+TIME(12,0,0),1)</f>
        <v>0.25</v>
      </c>
      <c r="N54" s="57" t="str">
        <f>EST!N17</f>
        <v>Manilyn Abellar</v>
      </c>
      <c r="O54" s="57" t="s">
        <v>123</v>
      </c>
      <c r="P54" s="57">
        <f t="shared" si="1"/>
        <v>0</v>
      </c>
    </row>
    <row r="55" spans="1:16" x14ac:dyDescent="0.3">
      <c r="A55" s="57" t="str">
        <f>Table2[[#This Row],[Name]]</f>
        <v>Michelle Corbeta</v>
      </c>
      <c r="B5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5" s="57" t="str">
        <f t="shared" si="3"/>
        <v>Tue - Wed - Thu</v>
      </c>
      <c r="J55" s="58">
        <f>MOD(EST!J55+TIME(12,0,0),1)</f>
        <v>0.96875</v>
      </c>
      <c r="K55" s="58">
        <f>MOD(EST!K55+TIME(12,0,0),1)</f>
        <v>6.25E-2</v>
      </c>
      <c r="L55" s="58">
        <f>MOD(EST!L55+TIME(12,0,0),1)</f>
        <v>0.125</v>
      </c>
      <c r="M55" s="58">
        <f>MOD(EST!M55+TIME(12,0,0),1)</f>
        <v>0.27083333333333348</v>
      </c>
      <c r="N55" s="57" t="str">
        <f>EST!N55</f>
        <v>Christopher Rodas</v>
      </c>
      <c r="O55" s="57" t="s">
        <v>70</v>
      </c>
      <c r="P55" s="57">
        <f t="shared" si="1"/>
        <v>1</v>
      </c>
    </row>
    <row r="56" spans="1:16" x14ac:dyDescent="0.3">
      <c r="A56" s="57" t="str">
        <f>Table2[[#This Row],[Name]]</f>
        <v>Pat Marlou Tanola</v>
      </c>
      <c r="B5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5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5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5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5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6" s="57" t="str">
        <f t="shared" si="3"/>
        <v>Mon - Sat - Sun</v>
      </c>
      <c r="J56" s="58">
        <f>MOD(EST!J56+TIME(12,0,0),1)</f>
        <v>0.875</v>
      </c>
      <c r="K56" s="58">
        <f>MOD(EST!K56+TIME(12,0,0),1)</f>
        <v>8.3333333333333481E-2</v>
      </c>
      <c r="L56" s="58">
        <f>MOD(EST!L56+TIME(12,0,0),1)</f>
        <v>0.95833333333333326</v>
      </c>
      <c r="M56" s="58">
        <f>MOD(EST!M56+TIME(12,0,0),1)</f>
        <v>0.16666666666666652</v>
      </c>
      <c r="N56" s="57" t="str">
        <f>EST!N56</f>
        <v>Christopher Rodas</v>
      </c>
      <c r="O56" s="57" t="s">
        <v>81</v>
      </c>
      <c r="P56" s="57">
        <f t="shared" si="1"/>
        <v>0</v>
      </c>
    </row>
    <row r="57" spans="1:16" x14ac:dyDescent="0.3">
      <c r="A57" s="57" t="str">
        <f>Table2[[#This Row],[Name]]</f>
        <v>Patricia Gilan Villas</v>
      </c>
      <c r="B5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7" s="57" t="str">
        <f t="shared" si="3"/>
        <v>Tue - Wed - Thu</v>
      </c>
      <c r="J57" s="58">
        <f>MOD(EST!J57+TIME(12,0,0),1)</f>
        <v>0.94791666666666674</v>
      </c>
      <c r="K57" s="58">
        <f>MOD(EST!K57+TIME(12,0,0),1)</f>
        <v>0.15625</v>
      </c>
      <c r="L57" s="58">
        <f>MOD(EST!L57+TIME(12,0,0),1)</f>
        <v>2.0833333333333481E-2</v>
      </c>
      <c r="M57" s="58">
        <f>MOD(EST!M57+TIME(12,0,0),1)</f>
        <v>0.26041666666666652</v>
      </c>
      <c r="N57" s="57" t="str">
        <f>EST!N57</f>
        <v>Anmecha Valencia</v>
      </c>
      <c r="O57" s="57" t="s">
        <v>59</v>
      </c>
      <c r="P57" s="57">
        <f t="shared" si="1"/>
        <v>1</v>
      </c>
    </row>
    <row r="58" spans="1:16" x14ac:dyDescent="0.3">
      <c r="A58" s="57" t="str">
        <f>Table2[[#This Row],[Name]]</f>
        <v>Raquela Nicole Lareta</v>
      </c>
      <c r="B58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8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8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58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58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8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8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8" s="57" t="str">
        <f t="shared" si="3"/>
        <v>Fri - Sat - Sun</v>
      </c>
      <c r="J58" s="58">
        <f>MOD(EST!J58+TIME(12,0,0),1)</f>
        <v>0.79166666666666674</v>
      </c>
      <c r="K58" s="58">
        <f>MOD(EST!K58+TIME(12,0,0),1)</f>
        <v>0</v>
      </c>
      <c r="L58" s="58">
        <f>MOD(EST!L58+TIME(12,0,0),1)</f>
        <v>0.875</v>
      </c>
      <c r="M58" s="58">
        <f>MOD(EST!M58+TIME(12,0,0),1)</f>
        <v>0.11458333333333348</v>
      </c>
      <c r="N58" s="57" t="str">
        <f>EST!N58</f>
        <v>Christopher Rodas</v>
      </c>
      <c r="O58" s="57" t="s">
        <v>84</v>
      </c>
      <c r="P58" s="57">
        <f t="shared" si="1"/>
        <v>0</v>
      </c>
    </row>
    <row r="59" spans="1:16" x14ac:dyDescent="0.3">
      <c r="A59" s="57" t="str">
        <f>Table2[[#This Row],[Name]]</f>
        <v>Rayniel Ingal</v>
      </c>
      <c r="B59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59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59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9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9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9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59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59" s="57" t="str">
        <f t="shared" si="3"/>
        <v>Wed - Thu - Fri</v>
      </c>
      <c r="J59" s="58">
        <f>MOD(EST!J26+TIME(12,0,0),1)</f>
        <v>1.0416666666666519E-2</v>
      </c>
      <c r="K59" s="58">
        <f>MOD(EST!K26+TIME(12,0,0),1)</f>
        <v>9.375E-2</v>
      </c>
      <c r="L59" s="58">
        <f>MOD(EST!L26+TIME(12,0,0),1)</f>
        <v>0.1875</v>
      </c>
      <c r="M59" s="58">
        <f>MOD(EST!M26+TIME(12,0,0),1)</f>
        <v>0.3125</v>
      </c>
      <c r="N59" s="57" t="str">
        <f>EST!N26</f>
        <v>Michael Dominguez</v>
      </c>
      <c r="O59" s="57" t="s">
        <v>123</v>
      </c>
      <c r="P59" s="57">
        <f t="shared" si="1"/>
        <v>0</v>
      </c>
    </row>
    <row r="60" spans="1:16" x14ac:dyDescent="0.3">
      <c r="A60" s="57" t="str">
        <f>Table2[[#This Row],[Name]]</f>
        <v>Rey Fernandez</v>
      </c>
      <c r="B60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11:00 - 22:00</v>
      </c>
      <c r="C60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0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60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60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0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11:00 - 22:00</v>
      </c>
      <c r="I60" s="57" t="str">
        <f t="shared" si="0"/>
        <v>Tue - Wed - Sat</v>
      </c>
      <c r="J60" s="58">
        <f>MOD(EST!J60+TIME(12,0,0),1)</f>
        <v>0.55208333333333337</v>
      </c>
      <c r="K60" s="58">
        <f>MOD(EST!K60+TIME(12,0,0),1)</f>
        <v>0.77083333333333326</v>
      </c>
      <c r="L60" s="58">
        <f>MOD(EST!L60+TIME(12,0,0),1)</f>
        <v>0.64583333333333337</v>
      </c>
      <c r="M60" s="58">
        <f>MOD(EST!M60+TIME(12,0,0),1)</f>
        <v>0.86458333333333326</v>
      </c>
      <c r="N60" s="57" t="str">
        <f>EST!N60</f>
        <v>Anmecha Valencia</v>
      </c>
      <c r="O60" s="57" t="s">
        <v>96</v>
      </c>
      <c r="P60" s="57">
        <f t="shared" si="1"/>
        <v>0</v>
      </c>
    </row>
    <row r="61" spans="1:16" x14ac:dyDescent="0.3">
      <c r="A61" s="57" t="str">
        <f>Table2[[#This Row],[Name]]</f>
        <v>Rona Rotchel Moniva</v>
      </c>
      <c r="B61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1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1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1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1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1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61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1" s="57" t="str">
        <f t="shared" si="0"/>
        <v>Mon - Tue - Sun</v>
      </c>
      <c r="J61" s="58">
        <f>MOD(EST!J61+TIME(12,0,0),1)</f>
        <v>0.96875</v>
      </c>
      <c r="K61" s="58">
        <f>MOD(EST!K61+TIME(12,0,0),1)</f>
        <v>0.22916666666666652</v>
      </c>
      <c r="L61" s="58">
        <f>MOD(EST!L61+TIME(12,0,0),1)</f>
        <v>6.25E-2</v>
      </c>
      <c r="M61" s="58">
        <f>MOD(EST!M61+TIME(12,0,0),1)</f>
        <v>0.29166666666666652</v>
      </c>
      <c r="N61" s="57" t="str">
        <f>EST!N61</f>
        <v>Manilyn Abellar</v>
      </c>
      <c r="O61" s="57" t="s">
        <v>84</v>
      </c>
      <c r="P61" s="57">
        <f t="shared" si="1"/>
        <v>0</v>
      </c>
    </row>
    <row r="62" spans="1:16" x14ac:dyDescent="0.3">
      <c r="A62" s="57" t="str">
        <f>Table2[[#This Row],[Name]]</f>
        <v>Roy Sagales</v>
      </c>
      <c r="B62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2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2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2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62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19:00 - 06:00</v>
      </c>
      <c r="I62" s="57" t="str">
        <f t="shared" si="0"/>
        <v>Wed - Thu - Fri</v>
      </c>
      <c r="J62" s="58">
        <f>MOD(EST!J62+TIME(12,0,0),1)</f>
        <v>0.86458333333333326</v>
      </c>
      <c r="K62" s="58">
        <f>MOD(EST!K62+TIME(12,0,0),1)</f>
        <v>7.2916666666666519E-2</v>
      </c>
      <c r="L62" s="58">
        <f>MOD(EST!L62+TIME(12,0,0),1)</f>
        <v>0.94791666666666674</v>
      </c>
      <c r="M62" s="58">
        <f>MOD(EST!M62+TIME(12,0,0),1)</f>
        <v>0.17708333333333348</v>
      </c>
      <c r="N62" s="57" t="str">
        <f>EST!N62</f>
        <v>Michael Dominguez</v>
      </c>
      <c r="O62" s="57" t="s">
        <v>53</v>
      </c>
      <c r="P62" s="57">
        <f t="shared" si="1"/>
        <v>0</v>
      </c>
    </row>
    <row r="63" spans="1:16" x14ac:dyDescent="0.3">
      <c r="A63" s="57" t="str">
        <f>Table2[[#This Row],[Name]]</f>
        <v>Sam Supnet</v>
      </c>
      <c r="B63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22:30 - 09:30</v>
      </c>
      <c r="C63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22:30 - 09:30</v>
      </c>
      <c r="D63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3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3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3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22:30 - 09:30</v>
      </c>
      <c r="H6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I63" s="57" t="str">
        <f t="shared" si="0"/>
        <v>Wed - Thu - Fri</v>
      </c>
      <c r="J63" s="58">
        <f>MOD(EST!J63+TIME(12,0,0),1)</f>
        <v>3.125E-2</v>
      </c>
      <c r="K63" s="58">
        <f>MOD(EST!K63+TIME(12,0,0),1)</f>
        <v>0.26041666666666652</v>
      </c>
      <c r="L63" s="58">
        <f>MOD(EST!L63+TIME(12,0,0),1)</f>
        <v>0.14583333333333348</v>
      </c>
      <c r="M63" s="58">
        <f>MOD(EST!M63+TIME(12,0,0),1)</f>
        <v>0.375</v>
      </c>
      <c r="N63" s="57" t="str">
        <f>EST!N63</f>
        <v>Michael Dominguez</v>
      </c>
      <c r="O63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P63" s="57">
        <f t="shared" si="1"/>
        <v>0</v>
      </c>
    </row>
    <row r="64" spans="1:16" x14ac:dyDescent="0.3">
      <c r="A64" s="57" t="str">
        <f>Table2[[#This Row],[Name]]</f>
        <v>Samantha Yvonne Dela Costa</v>
      </c>
      <c r="B64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64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64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4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4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4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4" s="57" t="str">
        <f t="shared" ref="I64:I66" si="4">_xlfn.TEXTJOIN(" - ",TRUE,
IF(B64="OFF","Mon",""),
IF(C64="OFF","Tue",""),
IF(D64="OFF","Wed",""),
IF(E64="OFF","Thu",""),
IF(F64="OFF","Fri",""),
IF(G64="OFF","Sat",""),
IF(H64="OFF","Sun",""))</f>
        <v>Thu - Sat - Sun</v>
      </c>
      <c r="J64" s="58">
        <f>MOD(EST!J64+TIME(12,0,0),1)</f>
        <v>0.98958333333333326</v>
      </c>
      <c r="K64" s="58">
        <f>MOD(EST!K64+TIME(12,0,0),1)</f>
        <v>0.22916666666666652</v>
      </c>
      <c r="L64" s="58">
        <f>MOD(EST!L64+TIME(12,0,0),1)</f>
        <v>0.10416666666666652</v>
      </c>
      <c r="M64" s="58">
        <f>MOD(EST!M64+TIME(12,0,0),1)</f>
        <v>0.3125</v>
      </c>
      <c r="N64" s="57" t="str">
        <f>EST!N64</f>
        <v>Anmecha Valencia</v>
      </c>
      <c r="O64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P64" s="57">
        <f t="shared" si="1"/>
        <v>0</v>
      </c>
    </row>
    <row r="65" spans="1:16" x14ac:dyDescent="0.3">
      <c r="A65" s="57" t="str">
        <f>Table2[[#This Row],[Name]]</f>
        <v>Sean Gabriel Ramirez</v>
      </c>
      <c r="B65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5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5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5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65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5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5" s="57" t="str">
        <f t="shared" si="4"/>
        <v>Mon - Sat - Sun</v>
      </c>
      <c r="J65" s="58">
        <f>MOD(EST!J65+TIME(12,0,0),1)</f>
        <v>0.875</v>
      </c>
      <c r="K65" s="58">
        <f>MOD(EST!K65+TIME(12,0,0),1)</f>
        <v>9.375E-2</v>
      </c>
      <c r="L65" s="58">
        <f>MOD(EST!L65+TIME(12,0,0),1)</f>
        <v>0.95833333333333326</v>
      </c>
      <c r="M65" s="58">
        <f>MOD(EST!M65+TIME(12,0,0),1)</f>
        <v>0.17708333333333348</v>
      </c>
      <c r="N65" s="57" t="str">
        <f>EST!N65</f>
        <v>Christopher Rodas</v>
      </c>
      <c r="O65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P65" s="57">
        <f t="shared" si="1"/>
        <v>0</v>
      </c>
    </row>
    <row r="66" spans="1:16" x14ac:dyDescent="0.3">
      <c r="A66" s="57" t="str">
        <f>Table2[[#This Row],[Name]]</f>
        <v>Shiela Mae Laroa</v>
      </c>
      <c r="B66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6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6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6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6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6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6" s="57" t="str">
        <f t="shared" si="4"/>
        <v>Fri - Sat - Sun</v>
      </c>
      <c r="J66" s="58">
        <f>MOD(EST!J66+TIME(12,0,0),1)</f>
        <v>0.875</v>
      </c>
      <c r="K66" s="58">
        <f>MOD(EST!K66+TIME(12,0,0),1)</f>
        <v>0.97916666666666674</v>
      </c>
      <c r="L66" s="58">
        <f>MOD(EST!L66+TIME(12,0,0),1)</f>
        <v>8.3333333333333481E-2</v>
      </c>
      <c r="M66" s="58">
        <f>MOD(EST!M66+TIME(12,0,0),1)</f>
        <v>0.17708333333333348</v>
      </c>
      <c r="N66" s="57" t="str">
        <f>EST!N66</f>
        <v>Manilyn Abellar</v>
      </c>
      <c r="O66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P66" s="57">
        <f t="shared" si="1"/>
        <v>0</v>
      </c>
    </row>
    <row r="67" spans="1:16" x14ac:dyDescent="0.3">
      <c r="A67" s="57" t="str">
        <f>Table2[[#This Row],[Name]]</f>
        <v>William Nava</v>
      </c>
      <c r="B67" s="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67" s="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67" s="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67" s="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67" s="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7" s="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7" s="57" t="str">
        <f t="shared" ref="I67" si="5">_xlfn.TEXTJOIN(" - ",TRUE,
IF(B67="OFF","Mon",""),
IF(C67="OFF","Tue",""),
IF(D67="OFF","Wed",""),
IF(E67="OFF","Thu",""),
IF(F67="OFF","Fri",""),
IF(G67="OFF","Sat",""),
IF(H67="OFF","Sun",""))</f>
        <v>Tue - Sat - Sun</v>
      </c>
      <c r="J67" s="58">
        <f>MOD(EST!J67+TIME(12,0,0),1)</f>
        <v>0.92708333333333326</v>
      </c>
      <c r="K67" s="58">
        <f>MOD(EST!K67+TIME(12,0,0),1)</f>
        <v>0.14583333333333348</v>
      </c>
      <c r="L67" s="58">
        <f>MOD(EST!L67+TIME(12,0,0),1)</f>
        <v>1.0416666666666519E-2</v>
      </c>
      <c r="M67" s="58">
        <f>MOD(EST!M67+TIME(12,0,0),1)</f>
        <v>0.26041666666666652</v>
      </c>
      <c r="N67" s="57" t="str">
        <f>EST!N67</f>
        <v>Anmecha Valencia</v>
      </c>
      <c r="O67" s="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P67" s="57">
        <f t="shared" si="1"/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4.4" x14ac:dyDescent="0.3"/>
  <cols>
    <col min="1" max="1" width="24.5546875" bestFit="1" customWidth="1"/>
    <col min="2" max="3" width="11.44140625" customWidth="1"/>
    <col min="4" max="4" width="12.5546875" customWidth="1"/>
    <col min="5" max="8" width="11.44140625" customWidth="1"/>
    <col min="9" max="9" width="14" customWidth="1"/>
    <col min="10" max="11" width="9" customWidth="1"/>
    <col min="12" max="12" width="7.6640625" customWidth="1"/>
    <col min="13" max="13" width="9" customWidth="1"/>
    <col min="14" max="14" width="17.33203125" customWidth="1"/>
    <col min="15" max="15" width="12.6640625" bestFit="1" customWidth="1"/>
    <col min="16" max="16" width="8.88671875" customWidth="1"/>
  </cols>
  <sheetData>
    <row r="1" spans="1:16" x14ac:dyDescent="0.3">
      <c r="A1" s="18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20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140</v>
      </c>
      <c r="P1" s="19" t="s">
        <v>15</v>
      </c>
    </row>
    <row r="2" spans="1:16" x14ac:dyDescent="0.3">
      <c r="A2" s="21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19</v>
      </c>
      <c r="J2" s="22">
        <v>0.125</v>
      </c>
      <c r="K2" s="22">
        <v>0.35416666666666669</v>
      </c>
      <c r="L2" s="22">
        <v>0.26041666666666669</v>
      </c>
      <c r="M2" s="22">
        <v>0.44791666666666669</v>
      </c>
      <c r="N2" s="23" t="s">
        <v>20</v>
      </c>
      <c r="O2" s="22" t="s">
        <v>17</v>
      </c>
      <c r="P2">
        <f t="shared" ref="P2:P65" si="0">IF(O2="OFF",0,
IF(VALUE(LEFT(O2,2))&lt;12,0,1))</f>
        <v>0</v>
      </c>
    </row>
    <row r="3" spans="1:16" x14ac:dyDescent="0.3">
      <c r="A3" s="21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">
        <v>23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3" t="s">
        <v>22</v>
      </c>
      <c r="P3">
        <f t="shared" si="0"/>
        <v>1</v>
      </c>
    </row>
    <row r="4" spans="1:16" x14ac:dyDescent="0.3">
      <c r="A4" s="21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">
        <v>26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141</v>
      </c>
      <c r="O4" s="3" t="s">
        <v>25</v>
      </c>
      <c r="P4">
        <f t="shared" si="0"/>
        <v>0</v>
      </c>
    </row>
    <row r="5" spans="1:16" x14ac:dyDescent="0.3">
      <c r="A5" s="21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">
        <v>30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141</v>
      </c>
      <c r="O5" s="3" t="s">
        <v>29</v>
      </c>
      <c r="P5">
        <f t="shared" si="0"/>
        <v>0</v>
      </c>
    </row>
    <row r="6" spans="1:16" x14ac:dyDescent="0.3">
      <c r="A6" s="24" t="s">
        <v>142</v>
      </c>
      <c r="B6" s="25" t="s">
        <v>17</v>
      </c>
      <c r="C6" s="25" t="s">
        <v>17</v>
      </c>
      <c r="D6" s="25" t="s">
        <v>18</v>
      </c>
      <c r="E6" s="25" t="s">
        <v>18</v>
      </c>
      <c r="F6" s="25" t="s">
        <v>18</v>
      </c>
      <c r="G6" s="25" t="s">
        <v>17</v>
      </c>
      <c r="H6" s="25" t="s">
        <v>17</v>
      </c>
      <c r="I6" s="26" t="s">
        <v>19</v>
      </c>
      <c r="J6" s="27">
        <v>0.125</v>
      </c>
      <c r="K6" s="27">
        <v>0.33333333333333331</v>
      </c>
      <c r="L6" s="27">
        <v>0.21875</v>
      </c>
      <c r="M6" s="27">
        <v>0.4375</v>
      </c>
      <c r="N6" s="28" t="s">
        <v>43</v>
      </c>
      <c r="O6" s="27" t="s">
        <v>17</v>
      </c>
      <c r="P6">
        <f t="shared" si="0"/>
        <v>0</v>
      </c>
    </row>
    <row r="7" spans="1:16" x14ac:dyDescent="0.3">
      <c r="A7" s="21" t="s">
        <v>31</v>
      </c>
      <c r="B7" s="1" t="s">
        <v>18</v>
      </c>
      <c r="C7" s="1" t="s">
        <v>18</v>
      </c>
      <c r="D7" s="1" t="s">
        <v>18</v>
      </c>
      <c r="E7" s="1" t="s">
        <v>111</v>
      </c>
      <c r="F7" s="1" t="s">
        <v>111</v>
      </c>
      <c r="G7" s="1" t="s">
        <v>111</v>
      </c>
      <c r="H7" s="1" t="s">
        <v>111</v>
      </c>
      <c r="I7" s="2" t="s">
        <v>33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34</v>
      </c>
      <c r="O7" s="3" t="s">
        <v>111</v>
      </c>
      <c r="P7">
        <f t="shared" si="0"/>
        <v>1</v>
      </c>
    </row>
    <row r="8" spans="1:16" x14ac:dyDescent="0.3">
      <c r="A8" s="21" t="s">
        <v>35</v>
      </c>
      <c r="B8" s="1" t="s">
        <v>59</v>
      </c>
      <c r="C8" s="1" t="s">
        <v>59</v>
      </c>
      <c r="D8" s="1" t="s">
        <v>18</v>
      </c>
      <c r="E8" s="1" t="s">
        <v>18</v>
      </c>
      <c r="F8" s="1" t="s">
        <v>59</v>
      </c>
      <c r="G8" s="1" t="s">
        <v>59</v>
      </c>
      <c r="H8" s="1" t="s">
        <v>18</v>
      </c>
      <c r="I8" s="2" t="s">
        <v>143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38</v>
      </c>
      <c r="O8" s="3" t="s">
        <v>59</v>
      </c>
      <c r="P8">
        <f t="shared" si="0"/>
        <v>0</v>
      </c>
    </row>
    <row r="9" spans="1:16" x14ac:dyDescent="0.3">
      <c r="A9" s="21" t="s">
        <v>39</v>
      </c>
      <c r="B9" s="1" t="s">
        <v>36</v>
      </c>
      <c r="C9" s="1" t="s">
        <v>36</v>
      </c>
      <c r="D9" s="1" t="s">
        <v>36</v>
      </c>
      <c r="E9" s="1" t="s">
        <v>18</v>
      </c>
      <c r="F9" s="1" t="s">
        <v>36</v>
      </c>
      <c r="G9" s="1" t="s">
        <v>18</v>
      </c>
      <c r="H9" s="1" t="s">
        <v>18</v>
      </c>
      <c r="I9" s="2" t="s">
        <v>26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34</v>
      </c>
      <c r="O9" s="3" t="s">
        <v>36</v>
      </c>
      <c r="P9">
        <f t="shared" si="0"/>
        <v>0</v>
      </c>
    </row>
    <row r="10" spans="1:16" x14ac:dyDescent="0.3">
      <c r="A10" s="21" t="s">
        <v>40</v>
      </c>
      <c r="B10" s="1" t="s">
        <v>36</v>
      </c>
      <c r="C10" s="1" t="s">
        <v>36</v>
      </c>
      <c r="D10" s="1" t="s">
        <v>18</v>
      </c>
      <c r="E10" s="1" t="s">
        <v>18</v>
      </c>
      <c r="F10" s="1" t="s">
        <v>18</v>
      </c>
      <c r="G10" s="1" t="s">
        <v>36</v>
      </c>
      <c r="H10" s="1" t="s">
        <v>36</v>
      </c>
      <c r="I10" s="2" t="s">
        <v>144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43</v>
      </c>
      <c r="O10" s="3" t="s">
        <v>36</v>
      </c>
      <c r="P10">
        <f t="shared" si="0"/>
        <v>0</v>
      </c>
    </row>
    <row r="11" spans="1:16" x14ac:dyDescent="0.3">
      <c r="A11" s="21" t="s">
        <v>145</v>
      </c>
      <c r="B11" s="1" t="s">
        <v>25</v>
      </c>
      <c r="C11" s="1" t="s">
        <v>18</v>
      </c>
      <c r="D11" s="1" t="s">
        <v>18</v>
      </c>
      <c r="E11" s="1" t="s">
        <v>18</v>
      </c>
      <c r="F11" s="1" t="s">
        <v>25</v>
      </c>
      <c r="G11" s="1" t="s">
        <v>25</v>
      </c>
      <c r="H11" s="1" t="s">
        <v>25</v>
      </c>
      <c r="I11" s="2" t="s">
        <v>42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141</v>
      </c>
      <c r="O11" s="3" t="s">
        <v>25</v>
      </c>
      <c r="P11">
        <f t="shared" si="0"/>
        <v>0</v>
      </c>
    </row>
    <row r="12" spans="1:16" x14ac:dyDescent="0.3">
      <c r="A12" s="21" t="s">
        <v>44</v>
      </c>
      <c r="B12" s="1" t="s">
        <v>36</v>
      </c>
      <c r="C12" s="1" t="s">
        <v>18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">
        <v>45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38</v>
      </c>
      <c r="O12" s="1" t="s">
        <v>36</v>
      </c>
      <c r="P12">
        <f t="shared" si="0"/>
        <v>0</v>
      </c>
    </row>
    <row r="13" spans="1:16" x14ac:dyDescent="0.3">
      <c r="A13" s="21" t="s">
        <v>46</v>
      </c>
      <c r="B13" s="1" t="s">
        <v>47</v>
      </c>
      <c r="C13" s="1" t="s">
        <v>47</v>
      </c>
      <c r="D13" s="1" t="s">
        <v>18</v>
      </c>
      <c r="E13" s="1" t="s">
        <v>47</v>
      </c>
      <c r="F13" s="1" t="s">
        <v>47</v>
      </c>
      <c r="G13" s="1" t="s">
        <v>18</v>
      </c>
      <c r="H13" s="1" t="s">
        <v>18</v>
      </c>
      <c r="I13" s="2" t="s">
        <v>48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38</v>
      </c>
      <c r="O13" s="1" t="s">
        <v>47</v>
      </c>
      <c r="P13">
        <f t="shared" si="0"/>
        <v>0</v>
      </c>
    </row>
    <row r="14" spans="1:16" x14ac:dyDescent="0.3">
      <c r="A14" s="21" t="s">
        <v>49</v>
      </c>
      <c r="B14" s="1" t="s">
        <v>18</v>
      </c>
      <c r="C14" s="1" t="s">
        <v>36</v>
      </c>
      <c r="D14" s="1" t="s">
        <v>36</v>
      </c>
      <c r="E14" s="1" t="s">
        <v>36</v>
      </c>
      <c r="F14" s="1" t="s">
        <v>36</v>
      </c>
      <c r="G14" s="1" t="s">
        <v>18</v>
      </c>
      <c r="H14" s="1" t="s">
        <v>18</v>
      </c>
      <c r="I14" s="2" t="s">
        <v>50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34</v>
      </c>
      <c r="O14" s="1" t="s">
        <v>36</v>
      </c>
      <c r="P14">
        <f t="shared" si="0"/>
        <v>0</v>
      </c>
    </row>
    <row r="15" spans="1:16" x14ac:dyDescent="0.3">
      <c r="A15" s="21" t="s">
        <v>51</v>
      </c>
      <c r="B15" s="1" t="s">
        <v>29</v>
      </c>
      <c r="C15" s="1" t="s">
        <v>29</v>
      </c>
      <c r="D15" s="1" t="s">
        <v>29</v>
      </c>
      <c r="E15" s="1" t="s">
        <v>29</v>
      </c>
      <c r="F15" s="1" t="s">
        <v>18</v>
      </c>
      <c r="G15" s="1" t="s">
        <v>18</v>
      </c>
      <c r="H15" s="1" t="s">
        <v>18</v>
      </c>
      <c r="I15" s="2" t="s">
        <v>30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43</v>
      </c>
      <c r="O15" s="3" t="s">
        <v>29</v>
      </c>
      <c r="P15">
        <f t="shared" si="0"/>
        <v>0</v>
      </c>
    </row>
    <row r="16" spans="1:16" x14ac:dyDescent="0.3">
      <c r="A16" s="29" t="s">
        <v>52</v>
      </c>
      <c r="B16" s="30" t="s">
        <v>22</v>
      </c>
      <c r="C16" s="30" t="s">
        <v>22</v>
      </c>
      <c r="D16" s="30" t="s">
        <v>22</v>
      </c>
      <c r="E16" s="30" t="s">
        <v>18</v>
      </c>
      <c r="F16" s="30" t="s">
        <v>18</v>
      </c>
      <c r="G16" s="30" t="s">
        <v>18</v>
      </c>
      <c r="H16" s="30" t="s">
        <v>22</v>
      </c>
      <c r="I16" s="31" t="s">
        <v>146</v>
      </c>
      <c r="J16" s="32">
        <v>0.59375</v>
      </c>
      <c r="K16" s="32">
        <v>0.84375</v>
      </c>
      <c r="L16" s="32">
        <v>0.73958333333333337</v>
      </c>
      <c r="M16" s="32">
        <v>0.94791666666666663</v>
      </c>
      <c r="N16" s="33" t="s">
        <v>141</v>
      </c>
      <c r="O16" s="32" t="s">
        <v>22</v>
      </c>
      <c r="P16">
        <f t="shared" si="0"/>
        <v>1</v>
      </c>
    </row>
    <row r="17" spans="1:16" x14ac:dyDescent="0.3">
      <c r="A17" s="21" t="s">
        <v>54</v>
      </c>
      <c r="B17" s="1" t="s">
        <v>55</v>
      </c>
      <c r="C17" s="1" t="s">
        <v>55</v>
      </c>
      <c r="D17" s="1" t="s">
        <v>55</v>
      </c>
      <c r="E17" s="1" t="s">
        <v>55</v>
      </c>
      <c r="F17" s="1" t="s">
        <v>18</v>
      </c>
      <c r="G17" s="1" t="s">
        <v>18</v>
      </c>
      <c r="H17" s="1" t="s">
        <v>18</v>
      </c>
      <c r="I17" s="2" t="s">
        <v>30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141</v>
      </c>
      <c r="O17" s="3" t="s">
        <v>55</v>
      </c>
      <c r="P17">
        <f t="shared" si="0"/>
        <v>0</v>
      </c>
    </row>
    <row r="18" spans="1:16" x14ac:dyDescent="0.3">
      <c r="A18" s="21" t="s">
        <v>57</v>
      </c>
      <c r="B18" s="1" t="s">
        <v>25</v>
      </c>
      <c r="C18" s="1" t="s">
        <v>25</v>
      </c>
      <c r="D18" s="1" t="s">
        <v>18</v>
      </c>
      <c r="E18" s="1" t="s">
        <v>18</v>
      </c>
      <c r="F18" s="1" t="s">
        <v>18</v>
      </c>
      <c r="G18" s="1" t="s">
        <v>25</v>
      </c>
      <c r="H18" s="1" t="s">
        <v>25</v>
      </c>
      <c r="I18" s="2" t="s">
        <v>19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141</v>
      </c>
      <c r="O18" s="3" t="s">
        <v>25</v>
      </c>
      <c r="P18">
        <f t="shared" si="0"/>
        <v>0</v>
      </c>
    </row>
    <row r="19" spans="1:16" x14ac:dyDescent="0.3">
      <c r="A19" s="21" t="s">
        <v>58</v>
      </c>
      <c r="B19" s="1" t="s">
        <v>59</v>
      </c>
      <c r="C19" s="1" t="s">
        <v>59</v>
      </c>
      <c r="D19" s="1" t="s">
        <v>59</v>
      </c>
      <c r="E19" s="1" t="s">
        <v>59</v>
      </c>
      <c r="F19" s="1" t="s">
        <v>18</v>
      </c>
      <c r="G19" s="1" t="s">
        <v>18</v>
      </c>
      <c r="H19" s="1" t="s">
        <v>18</v>
      </c>
      <c r="I19" s="2" t="s">
        <v>30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38</v>
      </c>
      <c r="O19" s="3" t="s">
        <v>59</v>
      </c>
      <c r="P19">
        <f t="shared" si="0"/>
        <v>0</v>
      </c>
    </row>
    <row r="20" spans="1:16" x14ac:dyDescent="0.3">
      <c r="A20" s="21" t="s">
        <v>60</v>
      </c>
      <c r="B20" s="1" t="s">
        <v>36</v>
      </c>
      <c r="C20" s="1" t="s">
        <v>36</v>
      </c>
      <c r="D20" s="1" t="s">
        <v>36</v>
      </c>
      <c r="E20" s="1" t="s">
        <v>18</v>
      </c>
      <c r="F20" s="1" t="s">
        <v>36</v>
      </c>
      <c r="G20" s="1" t="s">
        <v>18</v>
      </c>
      <c r="H20" s="1" t="s">
        <v>18</v>
      </c>
      <c r="I20" s="2" t="s">
        <v>26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38</v>
      </c>
      <c r="O20" s="3" t="s">
        <v>36</v>
      </c>
      <c r="P20">
        <f t="shared" si="0"/>
        <v>0</v>
      </c>
    </row>
    <row r="21" spans="1:16" x14ac:dyDescent="0.3">
      <c r="A21" s="21" t="s">
        <v>61</v>
      </c>
      <c r="B21" s="1" t="s">
        <v>36</v>
      </c>
      <c r="C21" s="1" t="s">
        <v>36</v>
      </c>
      <c r="D21" s="1" t="s">
        <v>18</v>
      </c>
      <c r="E21" s="1" t="s">
        <v>36</v>
      </c>
      <c r="F21" s="1" t="s">
        <v>36</v>
      </c>
      <c r="G21" s="1" t="s">
        <v>18</v>
      </c>
      <c r="H21" s="1" t="s">
        <v>18</v>
      </c>
      <c r="I21" s="2" t="s">
        <v>48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38</v>
      </c>
      <c r="O21" s="3" t="s">
        <v>36</v>
      </c>
      <c r="P21">
        <f t="shared" si="0"/>
        <v>0</v>
      </c>
    </row>
    <row r="22" spans="1:16" x14ac:dyDescent="0.3">
      <c r="A22" s="21" t="s">
        <v>127</v>
      </c>
      <c r="B22" s="1" t="s">
        <v>128</v>
      </c>
      <c r="C22" s="1" t="s">
        <v>128</v>
      </c>
      <c r="D22" s="1" t="s">
        <v>18</v>
      </c>
      <c r="E22" s="1" t="s">
        <v>18</v>
      </c>
      <c r="F22" s="1" t="s">
        <v>18</v>
      </c>
      <c r="G22" s="1" t="s">
        <v>128</v>
      </c>
      <c r="H22" s="1" t="s">
        <v>128</v>
      </c>
      <c r="I22" s="2" t="s">
        <v>19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34</v>
      </c>
      <c r="O22" s="3" t="s">
        <v>128</v>
      </c>
      <c r="P22">
        <f t="shared" si="0"/>
        <v>0</v>
      </c>
    </row>
    <row r="23" spans="1:16" x14ac:dyDescent="0.3">
      <c r="A23" s="21" t="s">
        <v>147</v>
      </c>
      <c r="B23" s="1" t="s">
        <v>148</v>
      </c>
      <c r="C23" s="1" t="s">
        <v>148</v>
      </c>
      <c r="D23" s="1" t="s">
        <v>148</v>
      </c>
      <c r="E23" s="1" t="s">
        <v>148</v>
      </c>
      <c r="F23" s="1" t="s">
        <v>18</v>
      </c>
      <c r="G23" s="1" t="s">
        <v>18</v>
      </c>
      <c r="H23" s="1" t="s">
        <v>18</v>
      </c>
      <c r="I23" s="2" t="s">
        <v>30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34</v>
      </c>
      <c r="O23" s="3" t="s">
        <v>148</v>
      </c>
      <c r="P23">
        <f t="shared" si="0"/>
        <v>0</v>
      </c>
    </row>
    <row r="24" spans="1:16" x14ac:dyDescent="0.3">
      <c r="A24" s="29" t="s">
        <v>63</v>
      </c>
      <c r="B24" s="30" t="s">
        <v>18</v>
      </c>
      <c r="C24" s="30" t="s">
        <v>18</v>
      </c>
      <c r="D24" s="30" t="s">
        <v>18</v>
      </c>
      <c r="E24" s="34" t="s">
        <v>22</v>
      </c>
      <c r="F24" s="34" t="s">
        <v>22</v>
      </c>
      <c r="G24" s="34" t="s">
        <v>22</v>
      </c>
      <c r="H24" s="34" t="s">
        <v>22</v>
      </c>
      <c r="I24" s="30" t="s">
        <v>33</v>
      </c>
      <c r="J24" s="32">
        <v>0.625</v>
      </c>
      <c r="K24" s="32">
        <v>0.71875</v>
      </c>
      <c r="L24" s="32">
        <v>0.8125</v>
      </c>
      <c r="M24" s="32">
        <v>0.9375</v>
      </c>
      <c r="N24" s="33" t="s">
        <v>43</v>
      </c>
      <c r="O24" s="32" t="s">
        <v>22</v>
      </c>
      <c r="P24">
        <f t="shared" si="0"/>
        <v>1</v>
      </c>
    </row>
    <row r="25" spans="1:16" x14ac:dyDescent="0.3">
      <c r="A25" s="21" t="s">
        <v>64</v>
      </c>
      <c r="B25" s="1" t="s">
        <v>65</v>
      </c>
      <c r="C25" s="1" t="s">
        <v>65</v>
      </c>
      <c r="D25" s="1" t="s">
        <v>18</v>
      </c>
      <c r="E25" s="1" t="s">
        <v>18</v>
      </c>
      <c r="F25" s="1" t="s">
        <v>65</v>
      </c>
      <c r="G25" s="1" t="s">
        <v>18</v>
      </c>
      <c r="H25" s="1" t="s">
        <v>65</v>
      </c>
      <c r="I25" s="2" t="s">
        <v>66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43</v>
      </c>
      <c r="O25" s="3" t="s">
        <v>65</v>
      </c>
      <c r="P25">
        <f t="shared" si="0"/>
        <v>1</v>
      </c>
    </row>
    <row r="26" spans="1:16" x14ac:dyDescent="0.3">
      <c r="A26" s="21" t="s">
        <v>67</v>
      </c>
      <c r="B26" s="1" t="s">
        <v>68</v>
      </c>
      <c r="C26" s="1" t="s">
        <v>68</v>
      </c>
      <c r="D26" s="1" t="s">
        <v>68</v>
      </c>
      <c r="E26" s="1" t="s">
        <v>68</v>
      </c>
      <c r="F26" s="1" t="s">
        <v>18</v>
      </c>
      <c r="G26" s="1" t="s">
        <v>18</v>
      </c>
      <c r="H26" s="1" t="s">
        <v>18</v>
      </c>
      <c r="I26" s="2" t="s">
        <v>30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7" t="s">
        <v>20</v>
      </c>
      <c r="O26" s="3" t="s">
        <v>68</v>
      </c>
      <c r="P26">
        <f t="shared" si="0"/>
        <v>0</v>
      </c>
    </row>
    <row r="27" spans="1:16" x14ac:dyDescent="0.3">
      <c r="A27" s="21" t="s">
        <v>69</v>
      </c>
      <c r="B27" s="1" t="s">
        <v>70</v>
      </c>
      <c r="C27" s="1" t="s">
        <v>70</v>
      </c>
      <c r="D27" s="1" t="s">
        <v>70</v>
      </c>
      <c r="E27" s="1" t="s">
        <v>18</v>
      </c>
      <c r="F27" s="1" t="s">
        <v>18</v>
      </c>
      <c r="G27" s="1" t="s">
        <v>18</v>
      </c>
      <c r="H27" s="1" t="s">
        <v>70</v>
      </c>
      <c r="I27" s="2" t="s">
        <v>23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43</v>
      </c>
      <c r="O27" s="3" t="s">
        <v>70</v>
      </c>
      <c r="P27">
        <f t="shared" si="0"/>
        <v>0</v>
      </c>
    </row>
    <row r="28" spans="1:16" x14ac:dyDescent="0.3">
      <c r="A28" s="21" t="s">
        <v>71</v>
      </c>
      <c r="B28" s="1" t="s">
        <v>72</v>
      </c>
      <c r="C28" s="1" t="s">
        <v>72</v>
      </c>
      <c r="D28" s="1" t="s">
        <v>72</v>
      </c>
      <c r="E28" s="1" t="s">
        <v>72</v>
      </c>
      <c r="F28" s="1" t="s">
        <v>18</v>
      </c>
      <c r="G28" s="1" t="s">
        <v>18</v>
      </c>
      <c r="H28" s="1" t="s">
        <v>18</v>
      </c>
      <c r="I28" s="2" t="s">
        <v>30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34</v>
      </c>
      <c r="O28" s="3" t="s">
        <v>72</v>
      </c>
      <c r="P28">
        <f t="shared" si="0"/>
        <v>0</v>
      </c>
    </row>
    <row r="29" spans="1:16" x14ac:dyDescent="0.3">
      <c r="A29" s="21" t="s">
        <v>73</v>
      </c>
      <c r="B29" s="1" t="s">
        <v>25</v>
      </c>
      <c r="C29" s="1" t="s">
        <v>25</v>
      </c>
      <c r="D29" s="1" t="s">
        <v>18</v>
      </c>
      <c r="E29" s="1" t="s">
        <v>25</v>
      </c>
      <c r="F29" s="1" t="s">
        <v>25</v>
      </c>
      <c r="G29" s="1" t="s">
        <v>18</v>
      </c>
      <c r="H29" s="1" t="s">
        <v>18</v>
      </c>
      <c r="I29" s="2" t="s">
        <v>48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20</v>
      </c>
      <c r="O29" s="3" t="s">
        <v>25</v>
      </c>
      <c r="P29">
        <f t="shared" si="0"/>
        <v>0</v>
      </c>
    </row>
    <row r="30" spans="1:16" x14ac:dyDescent="0.3">
      <c r="A30" s="21" t="s">
        <v>74</v>
      </c>
      <c r="B30" s="1" t="s">
        <v>59</v>
      </c>
      <c r="C30" s="1" t="s">
        <v>59</v>
      </c>
      <c r="D30" s="1" t="s">
        <v>59</v>
      </c>
      <c r="E30" s="1" t="s">
        <v>59</v>
      </c>
      <c r="F30" s="1" t="s">
        <v>18</v>
      </c>
      <c r="G30" s="1" t="s">
        <v>18</v>
      </c>
      <c r="H30" s="1" t="s">
        <v>18</v>
      </c>
      <c r="I30" s="2" t="s">
        <v>30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20</v>
      </c>
      <c r="O30" s="3" t="s">
        <v>59</v>
      </c>
      <c r="P30">
        <f t="shared" si="0"/>
        <v>0</v>
      </c>
    </row>
    <row r="31" spans="1:16" x14ac:dyDescent="0.3">
      <c r="A31" s="21" t="s">
        <v>75</v>
      </c>
      <c r="B31" s="1" t="s">
        <v>76</v>
      </c>
      <c r="C31" s="1" t="s">
        <v>76</v>
      </c>
      <c r="D31" s="1" t="s">
        <v>76</v>
      </c>
      <c r="E31" s="1" t="s">
        <v>18</v>
      </c>
      <c r="F31" s="1" t="s">
        <v>18</v>
      </c>
      <c r="G31" s="1" t="s">
        <v>18</v>
      </c>
      <c r="H31" s="1" t="s">
        <v>76</v>
      </c>
      <c r="I31" s="2" t="s">
        <v>23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43</v>
      </c>
      <c r="O31" s="3" t="s">
        <v>76</v>
      </c>
      <c r="P31">
        <f t="shared" si="0"/>
        <v>0</v>
      </c>
    </row>
    <row r="32" spans="1:16" x14ac:dyDescent="0.3">
      <c r="A32" s="21" t="s">
        <v>77</v>
      </c>
      <c r="B32" s="1" t="s">
        <v>116</v>
      </c>
      <c r="C32" s="1" t="s">
        <v>116</v>
      </c>
      <c r="D32" s="1" t="s">
        <v>18</v>
      </c>
      <c r="E32" s="1" t="s">
        <v>18</v>
      </c>
      <c r="F32" s="1" t="s">
        <v>116</v>
      </c>
      <c r="G32" s="1" t="s">
        <v>116</v>
      </c>
      <c r="H32" s="1" t="s">
        <v>18</v>
      </c>
      <c r="I32" s="2" t="s">
        <v>143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141</v>
      </c>
      <c r="O32" s="3" t="s">
        <v>116</v>
      </c>
      <c r="P32">
        <f t="shared" si="0"/>
        <v>0</v>
      </c>
    </row>
    <row r="33" spans="1:16" x14ac:dyDescent="0.3">
      <c r="A33" s="21" t="s">
        <v>149</v>
      </c>
      <c r="B33" s="1" t="s">
        <v>41</v>
      </c>
      <c r="C33" s="1" t="s">
        <v>41</v>
      </c>
      <c r="D33" s="1" t="s">
        <v>41</v>
      </c>
      <c r="E33" s="1" t="s">
        <v>18</v>
      </c>
      <c r="F33" s="1" t="s">
        <v>18</v>
      </c>
      <c r="G33" s="1" t="s">
        <v>18</v>
      </c>
      <c r="H33" s="1" t="s">
        <v>41</v>
      </c>
      <c r="I33" s="2" t="s">
        <v>23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43</v>
      </c>
      <c r="O33" s="3" t="s">
        <v>41</v>
      </c>
      <c r="P33">
        <f t="shared" si="0"/>
        <v>1</v>
      </c>
    </row>
    <row r="34" spans="1:16" x14ac:dyDescent="0.3">
      <c r="A34" s="21" t="s">
        <v>79</v>
      </c>
      <c r="B34" s="1" t="s">
        <v>25</v>
      </c>
      <c r="C34" s="1" t="s">
        <v>18</v>
      </c>
      <c r="D34" s="1" t="s">
        <v>25</v>
      </c>
      <c r="E34" s="1" t="s">
        <v>25</v>
      </c>
      <c r="F34" s="1" t="s">
        <v>25</v>
      </c>
      <c r="G34" s="1" t="s">
        <v>18</v>
      </c>
      <c r="H34" s="1" t="s">
        <v>18</v>
      </c>
      <c r="I34" s="2" t="s">
        <v>45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141</v>
      </c>
      <c r="O34" s="3" t="s">
        <v>25</v>
      </c>
      <c r="P34">
        <f t="shared" si="0"/>
        <v>0</v>
      </c>
    </row>
    <row r="35" spans="1:16" x14ac:dyDescent="0.3">
      <c r="A35" s="21" t="s">
        <v>80</v>
      </c>
      <c r="B35" s="1" t="s">
        <v>18</v>
      </c>
      <c r="C35" s="1" t="s">
        <v>18</v>
      </c>
      <c r="D35" s="1" t="s">
        <v>81</v>
      </c>
      <c r="E35" s="1" t="s">
        <v>81</v>
      </c>
      <c r="F35" s="1" t="s">
        <v>81</v>
      </c>
      <c r="G35" s="1" t="s">
        <v>81</v>
      </c>
      <c r="H35" s="1" t="s">
        <v>18</v>
      </c>
      <c r="I35" s="2" t="s">
        <v>37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141</v>
      </c>
      <c r="O35" s="3" t="s">
        <v>81</v>
      </c>
      <c r="P35">
        <f t="shared" si="0"/>
        <v>1</v>
      </c>
    </row>
    <row r="36" spans="1:16" x14ac:dyDescent="0.3">
      <c r="A36" s="21" t="s">
        <v>82</v>
      </c>
      <c r="B36" s="1" t="s">
        <v>18</v>
      </c>
      <c r="C36" s="1" t="s">
        <v>47</v>
      </c>
      <c r="D36" s="1" t="s">
        <v>47</v>
      </c>
      <c r="E36" s="1" t="s">
        <v>47</v>
      </c>
      <c r="F36" s="1" t="s">
        <v>47</v>
      </c>
      <c r="G36" s="1" t="s">
        <v>18</v>
      </c>
      <c r="H36" s="1" t="s">
        <v>18</v>
      </c>
      <c r="I36" s="2" t="s">
        <v>50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141</v>
      </c>
      <c r="O36" s="3" t="s">
        <v>47</v>
      </c>
      <c r="P36">
        <f t="shared" si="0"/>
        <v>0</v>
      </c>
    </row>
    <row r="37" spans="1:16" x14ac:dyDescent="0.3">
      <c r="A37" s="21" t="s">
        <v>83</v>
      </c>
      <c r="B37" s="1" t="s">
        <v>90</v>
      </c>
      <c r="C37" s="1" t="s">
        <v>90</v>
      </c>
      <c r="D37" s="1" t="s">
        <v>18</v>
      </c>
      <c r="E37" s="1" t="s">
        <v>18</v>
      </c>
      <c r="F37" s="1" t="s">
        <v>18</v>
      </c>
      <c r="G37" s="1" t="s">
        <v>90</v>
      </c>
      <c r="H37" s="1" t="s">
        <v>90</v>
      </c>
      <c r="I37" s="2" t="s">
        <v>85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38</v>
      </c>
      <c r="O37" s="3" t="s">
        <v>90</v>
      </c>
      <c r="P37">
        <f t="shared" si="0"/>
        <v>1</v>
      </c>
    </row>
    <row r="38" spans="1:16" x14ac:dyDescent="0.3">
      <c r="A38" s="29" t="s">
        <v>86</v>
      </c>
      <c r="B38" s="30" t="s">
        <v>32</v>
      </c>
      <c r="C38" s="30" t="s">
        <v>32</v>
      </c>
      <c r="D38" s="30" t="s">
        <v>32</v>
      </c>
      <c r="E38" s="30" t="s">
        <v>32</v>
      </c>
      <c r="F38" s="30" t="s">
        <v>18</v>
      </c>
      <c r="G38" s="30" t="s">
        <v>18</v>
      </c>
      <c r="H38" s="30" t="s">
        <v>18</v>
      </c>
      <c r="I38" s="31" t="s">
        <v>30</v>
      </c>
      <c r="J38" s="32">
        <v>0.91666666666666663</v>
      </c>
      <c r="K38" s="32">
        <v>8.3333333333333329E-2</v>
      </c>
      <c r="L38" s="32">
        <v>0</v>
      </c>
      <c r="M38" s="32">
        <v>0.16666666666666666</v>
      </c>
      <c r="N38" s="33" t="s">
        <v>141</v>
      </c>
      <c r="O38" s="32" t="s">
        <v>32</v>
      </c>
      <c r="P38">
        <f t="shared" si="0"/>
        <v>1</v>
      </c>
    </row>
    <row r="39" spans="1:16" x14ac:dyDescent="0.3">
      <c r="A39" s="21" t="s">
        <v>88</v>
      </c>
      <c r="B39" s="1" t="s">
        <v>68</v>
      </c>
      <c r="C39" s="1" t="s">
        <v>68</v>
      </c>
      <c r="D39" s="1" t="s">
        <v>68</v>
      </c>
      <c r="E39" s="1" t="s">
        <v>68</v>
      </c>
      <c r="F39" s="1" t="s">
        <v>18</v>
      </c>
      <c r="G39" s="1" t="s">
        <v>18</v>
      </c>
      <c r="H39" s="1" t="s">
        <v>18</v>
      </c>
      <c r="I39" s="2" t="s">
        <v>30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20</v>
      </c>
      <c r="O39" s="3" t="s">
        <v>68</v>
      </c>
      <c r="P39">
        <f t="shared" si="0"/>
        <v>0</v>
      </c>
    </row>
    <row r="40" spans="1:16" x14ac:dyDescent="0.3">
      <c r="A40" s="21" t="s">
        <v>89</v>
      </c>
      <c r="B40" s="1" t="s">
        <v>47</v>
      </c>
      <c r="C40" s="1" t="s">
        <v>47</v>
      </c>
      <c r="D40" s="1" t="s">
        <v>47</v>
      </c>
      <c r="E40" s="1" t="s">
        <v>18</v>
      </c>
      <c r="F40" s="1" t="s">
        <v>18</v>
      </c>
      <c r="G40" s="1" t="s">
        <v>18</v>
      </c>
      <c r="H40" s="1" t="s">
        <v>47</v>
      </c>
      <c r="I40" s="2" t="s">
        <v>23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20</v>
      </c>
      <c r="O40" s="3" t="s">
        <v>47</v>
      </c>
      <c r="P40">
        <f t="shared" si="0"/>
        <v>0</v>
      </c>
    </row>
    <row r="41" spans="1:16" x14ac:dyDescent="0.3">
      <c r="A41" s="21" t="s">
        <v>91</v>
      </c>
      <c r="B41" s="1" t="s">
        <v>22</v>
      </c>
      <c r="C41" s="1" t="s">
        <v>22</v>
      </c>
      <c r="D41" s="1" t="s">
        <v>22</v>
      </c>
      <c r="E41" s="1" t="s">
        <v>22</v>
      </c>
      <c r="F41" s="1" t="s">
        <v>18</v>
      </c>
      <c r="G41" s="1" t="s">
        <v>18</v>
      </c>
      <c r="H41" s="1" t="s">
        <v>18</v>
      </c>
      <c r="I41" s="2" t="s">
        <v>30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141</v>
      </c>
      <c r="O41" s="3" t="s">
        <v>22</v>
      </c>
      <c r="P41">
        <f t="shared" si="0"/>
        <v>1</v>
      </c>
    </row>
    <row r="42" spans="1:16" x14ac:dyDescent="0.3">
      <c r="A42" s="21" t="s">
        <v>92</v>
      </c>
      <c r="B42" s="1" t="s">
        <v>18</v>
      </c>
      <c r="C42" s="1" t="s">
        <v>47</v>
      </c>
      <c r="D42" s="1" t="s">
        <v>47</v>
      </c>
      <c r="E42" s="1" t="s">
        <v>47</v>
      </c>
      <c r="F42" s="1" t="s">
        <v>47</v>
      </c>
      <c r="G42" s="1" t="s">
        <v>18</v>
      </c>
      <c r="H42" s="1" t="s">
        <v>18</v>
      </c>
      <c r="I42" s="2" t="s">
        <v>50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43</v>
      </c>
      <c r="O42" s="3" t="s">
        <v>47</v>
      </c>
      <c r="P42">
        <f t="shared" si="0"/>
        <v>0</v>
      </c>
    </row>
    <row r="43" spans="1:16" x14ac:dyDescent="0.3">
      <c r="A43" s="21" t="s">
        <v>93</v>
      </c>
      <c r="B43" s="1" t="s">
        <v>128</v>
      </c>
      <c r="C43" s="1" t="s">
        <v>128</v>
      </c>
      <c r="D43" s="1" t="s">
        <v>128</v>
      </c>
      <c r="E43" s="1" t="s">
        <v>18</v>
      </c>
      <c r="F43" s="1" t="s">
        <v>128</v>
      </c>
      <c r="G43" s="1" t="s">
        <v>18</v>
      </c>
      <c r="H43" s="1" t="s">
        <v>18</v>
      </c>
      <c r="I43" s="2" t="s">
        <v>26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38</v>
      </c>
      <c r="O43" s="3" t="s">
        <v>128</v>
      </c>
      <c r="P43">
        <f t="shared" si="0"/>
        <v>0</v>
      </c>
    </row>
    <row r="44" spans="1:16" x14ac:dyDescent="0.3">
      <c r="A44" s="21" t="s">
        <v>94</v>
      </c>
      <c r="B44" s="1" t="s">
        <v>25</v>
      </c>
      <c r="C44" s="1" t="s">
        <v>25</v>
      </c>
      <c r="D44" s="1" t="s">
        <v>25</v>
      </c>
      <c r="E44" s="1" t="s">
        <v>25</v>
      </c>
      <c r="F44" s="1" t="s">
        <v>18</v>
      </c>
      <c r="G44" s="1" t="s">
        <v>18</v>
      </c>
      <c r="H44" s="1" t="s">
        <v>18</v>
      </c>
      <c r="I44" s="2" t="s">
        <v>30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20</v>
      </c>
      <c r="O44" s="3" t="s">
        <v>25</v>
      </c>
      <c r="P44">
        <f t="shared" si="0"/>
        <v>0</v>
      </c>
    </row>
    <row r="45" spans="1:16" x14ac:dyDescent="0.3">
      <c r="A45" s="21" t="s">
        <v>95</v>
      </c>
      <c r="B45" s="1" t="s">
        <v>96</v>
      </c>
      <c r="C45" s="1" t="s">
        <v>96</v>
      </c>
      <c r="D45" s="1" t="s">
        <v>96</v>
      </c>
      <c r="E45" s="1" t="s">
        <v>18</v>
      </c>
      <c r="F45" s="1" t="s">
        <v>18</v>
      </c>
      <c r="G45" s="1" t="s">
        <v>96</v>
      </c>
      <c r="H45" s="1" t="s">
        <v>18</v>
      </c>
      <c r="I45" s="2" t="s">
        <v>97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43</v>
      </c>
      <c r="O45" s="3" t="s">
        <v>96</v>
      </c>
      <c r="P45">
        <f t="shared" si="0"/>
        <v>1</v>
      </c>
    </row>
    <row r="46" spans="1:16" x14ac:dyDescent="0.3">
      <c r="A46" s="21" t="s">
        <v>98</v>
      </c>
      <c r="B46" s="1" t="s">
        <v>25</v>
      </c>
      <c r="C46" s="1" t="s">
        <v>25</v>
      </c>
      <c r="D46" s="1" t="s">
        <v>25</v>
      </c>
      <c r="E46" s="1" t="s">
        <v>25</v>
      </c>
      <c r="F46" s="1" t="s">
        <v>18</v>
      </c>
      <c r="G46" s="1" t="s">
        <v>18</v>
      </c>
      <c r="H46" s="1" t="s">
        <v>18</v>
      </c>
      <c r="I46" s="2" t="s">
        <v>30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34</v>
      </c>
      <c r="O46" s="3" t="s">
        <v>25</v>
      </c>
      <c r="P46">
        <f t="shared" si="0"/>
        <v>0</v>
      </c>
    </row>
    <row r="47" spans="1:16" x14ac:dyDescent="0.3">
      <c r="A47" s="21" t="s">
        <v>99</v>
      </c>
      <c r="B47" s="1" t="s">
        <v>18</v>
      </c>
      <c r="C47" s="1" t="s">
        <v>41</v>
      </c>
      <c r="D47" s="1" t="s">
        <v>41</v>
      </c>
      <c r="E47" s="1" t="s">
        <v>41</v>
      </c>
      <c r="F47" s="1" t="s">
        <v>41</v>
      </c>
      <c r="G47" s="1" t="s">
        <v>18</v>
      </c>
      <c r="H47" s="1" t="s">
        <v>18</v>
      </c>
      <c r="I47" s="2" t="s">
        <v>50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141</v>
      </c>
      <c r="O47" s="3" t="s">
        <v>41</v>
      </c>
      <c r="P47">
        <f t="shared" si="0"/>
        <v>1</v>
      </c>
    </row>
    <row r="48" spans="1:16" x14ac:dyDescent="0.3">
      <c r="A48" s="21" t="s">
        <v>100</v>
      </c>
      <c r="B48" s="1" t="s">
        <v>25</v>
      </c>
      <c r="C48" s="1" t="s">
        <v>25</v>
      </c>
      <c r="D48" s="1" t="s">
        <v>18</v>
      </c>
      <c r="E48" s="1" t="s">
        <v>25</v>
      </c>
      <c r="F48" s="1" t="s">
        <v>25</v>
      </c>
      <c r="G48" s="1" t="s">
        <v>18</v>
      </c>
      <c r="H48" s="1" t="s">
        <v>18</v>
      </c>
      <c r="I48" s="2" t="s">
        <v>48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20</v>
      </c>
      <c r="O48" s="3" t="s">
        <v>25</v>
      </c>
      <c r="P48">
        <f t="shared" si="0"/>
        <v>0</v>
      </c>
    </row>
    <row r="49" spans="1:16" x14ac:dyDescent="0.3">
      <c r="A49" s="21" t="s">
        <v>101</v>
      </c>
      <c r="B49" s="1" t="s">
        <v>36</v>
      </c>
      <c r="C49" s="1" t="s">
        <v>36</v>
      </c>
      <c r="D49" s="1" t="s">
        <v>18</v>
      </c>
      <c r="E49" s="1" t="s">
        <v>36</v>
      </c>
      <c r="F49" s="1" t="s">
        <v>36</v>
      </c>
      <c r="G49" s="1" t="s">
        <v>18</v>
      </c>
      <c r="H49" s="1" t="s">
        <v>18</v>
      </c>
      <c r="I49" s="2" t="s">
        <v>48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34</v>
      </c>
      <c r="O49" s="3" t="s">
        <v>36</v>
      </c>
      <c r="P49">
        <f t="shared" si="0"/>
        <v>0</v>
      </c>
    </row>
    <row r="50" spans="1:16" x14ac:dyDescent="0.3">
      <c r="A50" s="21" t="s">
        <v>102</v>
      </c>
      <c r="B50" s="1" t="s">
        <v>116</v>
      </c>
      <c r="C50" s="1" t="s">
        <v>116</v>
      </c>
      <c r="D50" s="1" t="s">
        <v>116</v>
      </c>
      <c r="E50" s="1" t="s">
        <v>116</v>
      </c>
      <c r="F50" s="1" t="s">
        <v>18</v>
      </c>
      <c r="G50" s="1" t="s">
        <v>18</v>
      </c>
      <c r="H50" s="1" t="s">
        <v>18</v>
      </c>
      <c r="I50" s="2" t="s">
        <v>30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38</v>
      </c>
      <c r="O50" s="3" t="s">
        <v>116</v>
      </c>
      <c r="P50">
        <f t="shared" si="0"/>
        <v>0</v>
      </c>
    </row>
    <row r="51" spans="1:16" x14ac:dyDescent="0.3">
      <c r="A51" s="21" t="s">
        <v>103</v>
      </c>
      <c r="B51" s="1" t="s">
        <v>18</v>
      </c>
      <c r="C51" s="1" t="s">
        <v>18</v>
      </c>
      <c r="D51" s="1" t="s">
        <v>104</v>
      </c>
      <c r="E51" s="1" t="s">
        <v>104</v>
      </c>
      <c r="F51" s="1" t="s">
        <v>104</v>
      </c>
      <c r="G51" s="1" t="s">
        <v>104</v>
      </c>
      <c r="H51" s="1" t="s">
        <v>18</v>
      </c>
      <c r="I51" s="2" t="s">
        <v>105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43</v>
      </c>
      <c r="O51" s="1" t="s">
        <v>104</v>
      </c>
      <c r="P51">
        <f t="shared" si="0"/>
        <v>1</v>
      </c>
    </row>
    <row r="52" spans="1:16" x14ac:dyDescent="0.3">
      <c r="A52" s="21" t="s">
        <v>106</v>
      </c>
      <c r="B52" s="1" t="s">
        <v>36</v>
      </c>
      <c r="C52" s="1" t="s">
        <v>36</v>
      </c>
      <c r="D52" s="1" t="s">
        <v>36</v>
      </c>
      <c r="E52" s="1" t="s">
        <v>36</v>
      </c>
      <c r="F52" s="1" t="s">
        <v>18</v>
      </c>
      <c r="G52" s="1" t="s">
        <v>18</v>
      </c>
      <c r="H52" s="1" t="s">
        <v>18</v>
      </c>
      <c r="I52" s="2" t="s">
        <v>30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20</v>
      </c>
      <c r="O52" s="1" t="s">
        <v>36</v>
      </c>
      <c r="P52">
        <f t="shared" si="0"/>
        <v>0</v>
      </c>
    </row>
    <row r="53" spans="1:16" x14ac:dyDescent="0.3">
      <c r="A53" s="21" t="s">
        <v>107</v>
      </c>
      <c r="B53" s="1" t="s">
        <v>18</v>
      </c>
      <c r="C53" s="1" t="s">
        <v>36</v>
      </c>
      <c r="D53" s="1" t="s">
        <v>36</v>
      </c>
      <c r="E53" s="1" t="s">
        <v>36</v>
      </c>
      <c r="F53" s="1" t="s">
        <v>36</v>
      </c>
      <c r="G53" s="1" t="s">
        <v>18</v>
      </c>
      <c r="H53" s="1" t="s">
        <v>18</v>
      </c>
      <c r="I53" s="2" t="s">
        <v>50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34</v>
      </c>
      <c r="O53" s="1" t="s">
        <v>36</v>
      </c>
      <c r="P53">
        <f t="shared" si="0"/>
        <v>0</v>
      </c>
    </row>
    <row r="54" spans="1:16" x14ac:dyDescent="0.3">
      <c r="A54" s="21" t="s">
        <v>108</v>
      </c>
      <c r="B54" s="1" t="s">
        <v>70</v>
      </c>
      <c r="C54" s="1" t="s">
        <v>70</v>
      </c>
      <c r="D54" s="1" t="s">
        <v>18</v>
      </c>
      <c r="E54" s="1" t="s">
        <v>18</v>
      </c>
      <c r="F54" s="1" t="s">
        <v>18</v>
      </c>
      <c r="G54" s="1" t="s">
        <v>70</v>
      </c>
      <c r="H54" s="1" t="s">
        <v>70</v>
      </c>
      <c r="I54" s="2" t="s">
        <v>19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20</v>
      </c>
      <c r="O54" s="1" t="s">
        <v>70</v>
      </c>
      <c r="P54">
        <f t="shared" si="0"/>
        <v>0</v>
      </c>
    </row>
    <row r="55" spans="1:16" x14ac:dyDescent="0.3">
      <c r="A55" s="21" t="s">
        <v>109</v>
      </c>
      <c r="B55" s="1" t="s">
        <v>18</v>
      </c>
      <c r="C55" s="1" t="s">
        <v>18</v>
      </c>
      <c r="D55" s="1" t="s">
        <v>18</v>
      </c>
      <c r="E55" s="1" t="s">
        <v>84</v>
      </c>
      <c r="F55" s="1" t="s">
        <v>84</v>
      </c>
      <c r="G55" s="1" t="s">
        <v>84</v>
      </c>
      <c r="H55" s="1" t="s">
        <v>84</v>
      </c>
      <c r="I55" s="2" t="s">
        <v>33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43</v>
      </c>
      <c r="O55" s="1" t="s">
        <v>84</v>
      </c>
      <c r="P55">
        <f t="shared" si="0"/>
        <v>1</v>
      </c>
    </row>
    <row r="56" spans="1:16" x14ac:dyDescent="0.3">
      <c r="A56" s="21" t="s">
        <v>110</v>
      </c>
      <c r="B56" s="1" t="s">
        <v>111</v>
      </c>
      <c r="C56" s="1" t="s">
        <v>111</v>
      </c>
      <c r="D56" s="1" t="s">
        <v>111</v>
      </c>
      <c r="E56" s="1" t="s">
        <v>111</v>
      </c>
      <c r="F56" s="1" t="s">
        <v>18</v>
      </c>
      <c r="G56" s="1" t="s">
        <v>18</v>
      </c>
      <c r="H56" s="1" t="s">
        <v>18</v>
      </c>
      <c r="I56" s="2" t="s">
        <v>30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141</v>
      </c>
      <c r="O56" s="1" t="s">
        <v>111</v>
      </c>
      <c r="P56">
        <f t="shared" si="0"/>
        <v>1</v>
      </c>
    </row>
    <row r="57" spans="1:16" x14ac:dyDescent="0.3">
      <c r="A57" s="35" t="s">
        <v>112</v>
      </c>
      <c r="B57" s="1" t="s">
        <v>18</v>
      </c>
      <c r="C57" s="1" t="s">
        <v>18</v>
      </c>
      <c r="D57" s="1" t="s">
        <v>18</v>
      </c>
      <c r="E57" s="1" t="s">
        <v>72</v>
      </c>
      <c r="F57" s="1" t="s">
        <v>72</v>
      </c>
      <c r="G57" s="1" t="s">
        <v>72</v>
      </c>
      <c r="H57" s="1" t="s">
        <v>72</v>
      </c>
      <c r="I57" s="2" t="s">
        <v>113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43</v>
      </c>
      <c r="O57" s="3" t="s">
        <v>72</v>
      </c>
      <c r="P57">
        <f t="shared" si="0"/>
        <v>0</v>
      </c>
    </row>
    <row r="58" spans="1:16" x14ac:dyDescent="0.3">
      <c r="A58" s="21" t="s">
        <v>150</v>
      </c>
      <c r="B58" s="1" t="s">
        <v>18</v>
      </c>
      <c r="C58" s="1" t="s">
        <v>18</v>
      </c>
      <c r="D58" s="1" t="s">
        <v>55</v>
      </c>
      <c r="E58" s="1" t="s">
        <v>55</v>
      </c>
      <c r="F58" s="1" t="s">
        <v>55</v>
      </c>
      <c r="G58" s="1" t="s">
        <v>55</v>
      </c>
      <c r="H58" s="1" t="s">
        <v>18</v>
      </c>
      <c r="I58" s="2" t="s">
        <v>37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43</v>
      </c>
      <c r="O58" s="3" t="s">
        <v>55</v>
      </c>
      <c r="P58">
        <f t="shared" si="0"/>
        <v>0</v>
      </c>
    </row>
    <row r="59" spans="1:16" x14ac:dyDescent="0.3">
      <c r="A59" s="21" t="s">
        <v>114</v>
      </c>
      <c r="B59" s="1" t="s">
        <v>36</v>
      </c>
      <c r="C59" s="1" t="s">
        <v>18</v>
      </c>
      <c r="D59" s="1" t="s">
        <v>18</v>
      </c>
      <c r="E59" s="1" t="s">
        <v>18</v>
      </c>
      <c r="F59" s="1" t="s">
        <v>36</v>
      </c>
      <c r="G59" s="1" t="s">
        <v>36</v>
      </c>
      <c r="H59" s="1" t="s">
        <v>36</v>
      </c>
      <c r="I59" s="2" t="s">
        <v>42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43</v>
      </c>
      <c r="O59" s="3" t="s">
        <v>36</v>
      </c>
      <c r="P59">
        <f t="shared" si="0"/>
        <v>0</v>
      </c>
    </row>
    <row r="60" spans="1:16" x14ac:dyDescent="0.3">
      <c r="A60" s="21" t="s">
        <v>117</v>
      </c>
      <c r="B60" s="1" t="s">
        <v>36</v>
      </c>
      <c r="C60" s="1" t="s">
        <v>18</v>
      </c>
      <c r="D60" s="1" t="s">
        <v>18</v>
      </c>
      <c r="E60" s="1" t="s">
        <v>18</v>
      </c>
      <c r="F60" s="1" t="s">
        <v>36</v>
      </c>
      <c r="G60" s="1" t="s">
        <v>36</v>
      </c>
      <c r="H60" s="1" t="s">
        <v>36</v>
      </c>
      <c r="I60" s="2" t="s">
        <v>42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38</v>
      </c>
      <c r="O60" s="3" t="s">
        <v>36</v>
      </c>
      <c r="P60">
        <f t="shared" si="0"/>
        <v>0</v>
      </c>
    </row>
    <row r="61" spans="1:16" x14ac:dyDescent="0.3">
      <c r="A61" s="21" t="s">
        <v>119</v>
      </c>
      <c r="B61" s="5" t="s">
        <v>120</v>
      </c>
      <c r="C61" s="5" t="s">
        <v>120</v>
      </c>
      <c r="D61" s="1" t="s">
        <v>18</v>
      </c>
      <c r="E61" s="1" t="s">
        <v>18</v>
      </c>
      <c r="F61" s="1" t="s">
        <v>18</v>
      </c>
      <c r="G61" s="5" t="s">
        <v>120</v>
      </c>
      <c r="H61" s="5" t="s">
        <v>120</v>
      </c>
      <c r="I61" s="2" t="s">
        <v>85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121</v>
      </c>
      <c r="O61" s="5" t="s">
        <v>120</v>
      </c>
      <c r="P61">
        <f t="shared" si="0"/>
        <v>0</v>
      </c>
    </row>
    <row r="62" spans="1:16" x14ac:dyDescent="0.3">
      <c r="A62" s="21" t="s">
        <v>122</v>
      </c>
      <c r="B62" s="1" t="s">
        <v>18</v>
      </c>
      <c r="C62" s="1" t="s">
        <v>18</v>
      </c>
      <c r="D62" s="1" t="s">
        <v>123</v>
      </c>
      <c r="E62" s="1" t="s">
        <v>123</v>
      </c>
      <c r="F62" s="1" t="s">
        <v>18</v>
      </c>
      <c r="G62" s="1" t="s">
        <v>123</v>
      </c>
      <c r="H62" s="1" t="s">
        <v>123</v>
      </c>
      <c r="I62" s="2" t="s">
        <v>124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38</v>
      </c>
      <c r="O62" s="3" t="s">
        <v>123</v>
      </c>
      <c r="P62">
        <f t="shared" si="0"/>
        <v>1</v>
      </c>
    </row>
    <row r="63" spans="1:16" x14ac:dyDescent="0.3">
      <c r="A63" s="21" t="s">
        <v>125</v>
      </c>
      <c r="B63" s="1" t="s">
        <v>18</v>
      </c>
      <c r="C63" s="1" t="s">
        <v>18</v>
      </c>
      <c r="D63" s="1" t="s">
        <v>36</v>
      </c>
      <c r="E63" s="1" t="s">
        <v>36</v>
      </c>
      <c r="F63" s="1" t="s">
        <v>36</v>
      </c>
      <c r="G63" s="1" t="s">
        <v>36</v>
      </c>
      <c r="H63" s="1" t="s">
        <v>18</v>
      </c>
      <c r="I63" s="2" t="s">
        <v>37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141</v>
      </c>
      <c r="O63" s="3" t="s">
        <v>36</v>
      </c>
      <c r="P63">
        <f t="shared" si="0"/>
        <v>0</v>
      </c>
    </row>
    <row r="64" spans="1:16" x14ac:dyDescent="0.3">
      <c r="A64" s="21" t="s">
        <v>126</v>
      </c>
      <c r="B64" s="1" t="s">
        <v>116</v>
      </c>
      <c r="C64" s="1" t="s">
        <v>116</v>
      </c>
      <c r="D64" s="1" t="s">
        <v>18</v>
      </c>
      <c r="E64" s="1" t="s">
        <v>18</v>
      </c>
      <c r="F64" s="1" t="s">
        <v>18</v>
      </c>
      <c r="G64" s="1" t="s">
        <v>116</v>
      </c>
      <c r="H64" s="1" t="s">
        <v>116</v>
      </c>
      <c r="I64" s="2" t="s">
        <v>19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34</v>
      </c>
      <c r="O64" s="3" t="s">
        <v>116</v>
      </c>
      <c r="P64">
        <f t="shared" si="0"/>
        <v>0</v>
      </c>
    </row>
    <row r="65" spans="1:16" x14ac:dyDescent="0.3">
      <c r="A65" s="21" t="s">
        <v>129</v>
      </c>
      <c r="B65" s="1" t="s">
        <v>59</v>
      </c>
      <c r="C65" s="1" t="s">
        <v>59</v>
      </c>
      <c r="D65" s="1" t="s">
        <v>59</v>
      </c>
      <c r="E65" s="1" t="s">
        <v>18</v>
      </c>
      <c r="F65" s="1" t="s">
        <v>59</v>
      </c>
      <c r="G65" s="1" t="s">
        <v>18</v>
      </c>
      <c r="H65" s="1" t="s">
        <v>18</v>
      </c>
      <c r="I65" s="2" t="s">
        <v>26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38</v>
      </c>
      <c r="O65" s="3" t="s">
        <v>59</v>
      </c>
      <c r="P65">
        <f t="shared" si="0"/>
        <v>0</v>
      </c>
    </row>
    <row r="66" spans="1:16" x14ac:dyDescent="0.3">
      <c r="A66" s="21" t="s">
        <v>131</v>
      </c>
      <c r="B66" s="1" t="s">
        <v>72</v>
      </c>
      <c r="C66" s="1" t="s">
        <v>72</v>
      </c>
      <c r="D66" s="1" t="s">
        <v>72</v>
      </c>
      <c r="E66" s="1" t="s">
        <v>72</v>
      </c>
      <c r="F66" s="1" t="s">
        <v>18</v>
      </c>
      <c r="G66" s="1" t="s">
        <v>18</v>
      </c>
      <c r="H66" s="1" t="s">
        <v>18</v>
      </c>
      <c r="I66" s="36" t="s">
        <v>30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141</v>
      </c>
      <c r="O66" s="3" t="s">
        <v>72</v>
      </c>
      <c r="P66">
        <f t="shared" ref="P66:P68" si="1">IF(O66="OFF",0,
IF(VALUE(LEFT(O66,2))&lt;12,0,1))</f>
        <v>0</v>
      </c>
    </row>
    <row r="67" spans="1:16" x14ac:dyDescent="0.3">
      <c r="A67" s="29" t="s">
        <v>151</v>
      </c>
      <c r="B67" s="30" t="s">
        <v>116</v>
      </c>
      <c r="C67" s="30" t="s">
        <v>116</v>
      </c>
      <c r="D67" s="30" t="s">
        <v>116</v>
      </c>
      <c r="E67" s="30" t="s">
        <v>18</v>
      </c>
      <c r="F67" s="30" t="s">
        <v>18</v>
      </c>
      <c r="G67" s="30" t="s">
        <v>18</v>
      </c>
      <c r="H67" s="30" t="s">
        <v>116</v>
      </c>
      <c r="I67" s="31" t="s">
        <v>23</v>
      </c>
      <c r="J67" s="32">
        <v>0.36458333333333331</v>
      </c>
      <c r="K67" s="32">
        <v>0.57291666666666663</v>
      </c>
      <c r="L67" s="32">
        <v>0.44791666666666669</v>
      </c>
      <c r="M67" s="32">
        <v>0.67708333333333337</v>
      </c>
      <c r="N67" s="33" t="s">
        <v>43</v>
      </c>
      <c r="O67" s="32" t="s">
        <v>116</v>
      </c>
      <c r="P67">
        <f t="shared" si="1"/>
        <v>0</v>
      </c>
    </row>
    <row r="68" spans="1:16" x14ac:dyDescent="0.3">
      <c r="A68" s="21" t="s">
        <v>132</v>
      </c>
      <c r="B68" s="1" t="s">
        <v>25</v>
      </c>
      <c r="C68" s="1" t="s">
        <v>25</v>
      </c>
      <c r="D68" s="1" t="s">
        <v>25</v>
      </c>
      <c r="E68" s="1" t="s">
        <v>25</v>
      </c>
      <c r="F68" s="1" t="s">
        <v>18</v>
      </c>
      <c r="G68" s="1" t="s">
        <v>18</v>
      </c>
      <c r="H68" s="1" t="s">
        <v>18</v>
      </c>
      <c r="I68" s="2" t="s">
        <v>30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38</v>
      </c>
      <c r="O68" s="3" t="s">
        <v>25</v>
      </c>
      <c r="P68">
        <f t="shared" si="1"/>
        <v>0</v>
      </c>
    </row>
  </sheetData>
  <phoneticPr fontId="8" type="noConversion"/>
  <conditionalFormatting sqref="A2:I68">
    <cfRule type="cellIs" dxfId="12" priority="8" operator="equal">
      <formula>"OFF"</formula>
    </cfRule>
  </conditionalFormatting>
  <conditionalFormatting sqref="I61:I62">
    <cfRule type="cellIs" dxfId="11" priority="7" operator="equal">
      <formula>"OFF"</formula>
    </cfRule>
  </conditionalFormatting>
  <conditionalFormatting sqref="O12:O14">
    <cfRule type="cellIs" dxfId="10" priority="4" operator="equal">
      <formula>"OFF"</formula>
    </cfRule>
  </conditionalFormatting>
  <conditionalFormatting sqref="O51:O56">
    <cfRule type="cellIs" dxfId="9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topLeftCell="A46" workbookViewId="0">
      <selection activeCell="C3" sqref="C3"/>
    </sheetView>
  </sheetViews>
  <sheetFormatPr defaultRowHeight="14.4" x14ac:dyDescent="0.3"/>
  <cols>
    <col min="1" max="1" width="24.5546875" bestFit="1" customWidth="1"/>
    <col min="2" max="2" width="12.88671875" customWidth="1"/>
    <col min="3" max="3" width="14.109375" customWidth="1"/>
    <col min="4" max="8" width="11.44140625" bestFit="1" customWidth="1"/>
    <col min="9" max="9" width="14" bestFit="1" customWidth="1"/>
    <col min="10" max="13" width="8.44140625" style="37" bestFit="1" customWidth="1"/>
    <col min="14" max="14" width="17.33203125" bestFit="1" customWidth="1"/>
    <col min="15" max="15" width="14.33203125" customWidth="1"/>
  </cols>
  <sheetData>
    <row r="1" spans="1:16" x14ac:dyDescent="0.3">
      <c r="A1" s="38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40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152</v>
      </c>
      <c r="P1" s="39" t="s">
        <v>15</v>
      </c>
    </row>
    <row r="2" spans="1:16" x14ac:dyDescent="0.3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"&amp;TEXT(MOD(TIMEVALUE(_xlfn.TEXTAFTER(_xlpm.s,"-"))+0.5,1),"hh:mm"))),IF(EST_OLD!$P2=1,EST!G2,EST_OLD!H2))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15">
        <f>MOD(EST_OLD!J2+TIME(12,0,0),1)</f>
        <v>0.625</v>
      </c>
      <c r="K2" s="15">
        <f>MOD(EST_OLD!K2+TIME(12,0,0),1)</f>
        <v>0.85416666666666674</v>
      </c>
      <c r="L2" s="15">
        <f>MOD(EST_OLD!L2+TIME(12,0,0),1)</f>
        <v>0.76041666666666674</v>
      </c>
      <c r="M2" s="15">
        <f>MOD(EST_OLD!M2+TIME(12,0,0),1)</f>
        <v>0.94791666666666674</v>
      </c>
      <c r="N2" t="str">
        <f>EST_OLD!N2</f>
        <v>Remmo Panaligan</v>
      </c>
      <c r="O2" t="s">
        <v>22</v>
      </c>
      <c r="P2">
        <f>IF(
TIMEVALUE(LEFT(O2,FIND("-",O2)-1))&gt;=12/24,
0,
1
)</f>
        <v>0</v>
      </c>
    </row>
    <row r="3" spans="1:16" x14ac:dyDescent="0.3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"&amp;TEXT(MOD(TIMEVALUE(_xlfn.TEXTAFTER(_xlpm.s,"-"))+0.5,1),"hh:mm"))),IF(EST_OLD!$P3=1,EST!G3,EST_OLD!H3))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15">
        <f>MOD(EST_OLD!J3+TIME(12,0,0),1)</f>
        <v>0.11458333333333348</v>
      </c>
      <c r="K3" s="15">
        <f>MOD(EST_OLD!K3+TIME(12,0,0),1)</f>
        <v>0.3125</v>
      </c>
      <c r="L3" s="15">
        <f>MOD(EST_OLD!L3+TIME(12,0,0),1)</f>
        <v>0.1875</v>
      </c>
      <c r="M3" s="15">
        <f>MOD(EST_OLD!M3+TIME(12,0,0),1)</f>
        <v>0.41666666666666652</v>
      </c>
      <c r="N3" t="str">
        <f>EST_OLD!N3</f>
        <v>Remmo Panaligan</v>
      </c>
      <c r="O3" t="s">
        <v>17</v>
      </c>
      <c r="P3">
        <f t="shared" ref="P3:P65" si="2">IF(
TIMEVALUE(LEFT(O3,FIND("-",O3)-1))&gt;=12/24,
0,
1
)</f>
        <v>1</v>
      </c>
    </row>
    <row r="4" spans="1:16" x14ac:dyDescent="0.3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"&amp;TEXT(MOD(TIMEVALUE(_xlfn.TEXTAFTER(_xlpm.s,"-"))+0.5,1),"hh:mm"))),IF(EST_OLD!$P4=1,EST!G4,EST_OLD!H4))</f>
        <v>OFF</v>
      </c>
      <c r="I4" t="str">
        <f t="shared" si="1"/>
        <v>Thu - Sat - Sun</v>
      </c>
      <c r="J4" s="15">
        <f>MOD(EST_OLD!J4+TIME(12,0,0),1)</f>
        <v>0.91666666666666674</v>
      </c>
      <c r="K4" s="15">
        <f>MOD(EST_OLD!K4+TIME(12,0,0),1)</f>
        <v>0.125</v>
      </c>
      <c r="L4" s="15">
        <f>MOD(EST_OLD!L4+TIME(12,0,0),1)</f>
        <v>2.0833333333333481E-2</v>
      </c>
      <c r="M4" s="15">
        <f>MOD(EST_OLD!M4+TIME(12,0,0),1)</f>
        <v>0.23958333333333348</v>
      </c>
      <c r="N4" t="str">
        <f>EST_OLD!N4</f>
        <v>Charmane Briones</v>
      </c>
      <c r="O4" t="s">
        <v>32</v>
      </c>
      <c r="P4">
        <f t="shared" si="2"/>
        <v>0</v>
      </c>
    </row>
    <row r="5" spans="1:16" x14ac:dyDescent="0.3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"&amp;TEXT(MOD(TIMEVALUE(_xlfn.TEXTAFTER(_xlpm.s,"-"))+0.5,1),"hh:mm"))),IF(EST_OLD!$P5=1,EST!G5,EST_OLD!H5))</f>
        <v>OFF</v>
      </c>
      <c r="I5" t="str">
        <f t="shared" si="1"/>
        <v>Fri - Sat - Sun</v>
      </c>
      <c r="J5" s="15">
        <f>MOD(EST_OLD!J5+TIME(12,0,0),1)</f>
        <v>0.88541666666666674</v>
      </c>
      <c r="K5" s="15">
        <f>MOD(EST_OLD!K5+TIME(12,0,0),1)</f>
        <v>0.11458333333333348</v>
      </c>
      <c r="L5" s="15">
        <f>MOD(EST_OLD!L5+TIME(12,0,0),1)</f>
        <v>0.96875</v>
      </c>
      <c r="M5" s="15">
        <f>MOD(EST_OLD!M5+TIME(12,0,0),1)</f>
        <v>0.21875</v>
      </c>
      <c r="N5" t="str">
        <f>EST_OLD!N5</f>
        <v>Charmane Briones</v>
      </c>
      <c r="O5" t="s">
        <v>138</v>
      </c>
      <c r="P5">
        <f t="shared" si="2"/>
        <v>0</v>
      </c>
    </row>
    <row r="6" spans="1:16" x14ac:dyDescent="0.3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"&amp;TEXT(MOD(TIMEVALUE(_xlfn.TEXTAFTER(_xlpm.s,"-"))+0.5,1),"hh:mm"))),IF(EST_OLD!$P6=1,EST!G6,EST_OLD!H6))</f>
        <v>13:00 - 00:00</v>
      </c>
      <c r="I6" t="str">
        <f t="shared" si="1"/>
        <v>Wed - Thu - Fri</v>
      </c>
      <c r="J6" s="15">
        <f>MOD(EST_OLD!J6+TIME(12,0,0),1)</f>
        <v>0.625</v>
      </c>
      <c r="K6" s="15">
        <f>MOD(EST_OLD!K6+TIME(12,0,0),1)</f>
        <v>0.83333333333333326</v>
      </c>
      <c r="L6" s="15">
        <f>MOD(EST_OLD!L6+TIME(12,0,0),1)</f>
        <v>0.71875</v>
      </c>
      <c r="M6" s="15">
        <f>MOD(EST_OLD!M6+TIME(12,0,0),1)</f>
        <v>0.9375</v>
      </c>
      <c r="N6" t="str">
        <f>EST_OLD!N6</f>
        <v>Christopher Rodas</v>
      </c>
      <c r="O6" t="s">
        <v>22</v>
      </c>
      <c r="P6">
        <f t="shared" si="2"/>
        <v>0</v>
      </c>
    </row>
    <row r="7" spans="1:16" x14ac:dyDescent="0.3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"&amp;TEXT(MOD(TIMEVALUE(_xlfn.TEXTAFTER(_xlpm.s,"-"))+0.5,1),"hh:mm"))),IF(EST_OLD!$P7=1,EST!G7,EST_OLD!H7))</f>
        <v>10:00 - 21:00</v>
      </c>
      <c r="I7" t="str">
        <f t="shared" si="1"/>
        <v>Tue - Wed - Thu</v>
      </c>
      <c r="J7" s="15">
        <f>MOD(EST_OLD!J7+TIME(12,0,0),1)</f>
        <v>0.51041666666666663</v>
      </c>
      <c r="K7" s="15">
        <f>MOD(EST_OLD!K7+TIME(12,0,0),1)</f>
        <v>0.59375</v>
      </c>
      <c r="L7" s="15">
        <f>MOD(EST_OLD!L7+TIME(12,0,0),1)</f>
        <v>0.77083333333333326</v>
      </c>
      <c r="M7" s="15">
        <f>MOD(EST_OLD!M7+TIME(12,0,0),1)</f>
        <v>0.6875</v>
      </c>
      <c r="N7" t="str">
        <f>EST_OLD!N7</f>
        <v>Michael Dominguez</v>
      </c>
      <c r="O7" t="s">
        <v>72</v>
      </c>
      <c r="P7">
        <f t="shared" si="2"/>
        <v>1</v>
      </c>
    </row>
    <row r="8" spans="1:16" x14ac:dyDescent="0.3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"&amp;TEXT(MOD(TIMEVALUE(_xlfn.TEXTAFTER(_xlpm.s,"-"))+0.5,1),"hh:mm"))),IF(EST_OLD!$P8=1,EST!G8,EST_OLD!H8))</f>
        <v>OFF</v>
      </c>
      <c r="I8" t="str">
        <f t="shared" si="1"/>
        <v>Wed - Thu - Sun</v>
      </c>
      <c r="J8" s="15">
        <f>MOD(EST_OLD!J8+TIME(12,0,0),1)</f>
        <v>0</v>
      </c>
      <c r="K8" s="15">
        <f>MOD(EST_OLD!K8+TIME(12,0,0),1)</f>
        <v>0.25</v>
      </c>
      <c r="L8" s="15">
        <f>MOD(EST_OLD!L8+TIME(12,0,0),1)</f>
        <v>0.11458333333333348</v>
      </c>
      <c r="M8" s="15">
        <f>MOD(EST_OLD!M8+TIME(12,0,0),1)</f>
        <v>0.35416666666666652</v>
      </c>
      <c r="N8" t="str">
        <f>EST_OLD!N8</f>
        <v>Anmecha Valencia</v>
      </c>
      <c r="O8" t="s">
        <v>123</v>
      </c>
      <c r="P8">
        <f t="shared" si="2"/>
        <v>0</v>
      </c>
    </row>
    <row r="9" spans="1:16" x14ac:dyDescent="0.3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"&amp;TEXT(MOD(TIMEVALUE(_xlfn.TEXTAFTER(_xlpm.s,"-"))+0.5,1),"hh:mm"))),IF(EST_OLD!$P9=1,EST!#REF!,EST_OLD!H9))</f>
        <v>OFF</v>
      </c>
      <c r="I9" t="str">
        <f t="shared" si="1"/>
        <v>Thu - Sat - Sun</v>
      </c>
      <c r="J9" s="15">
        <f>MOD(EST_OLD!J9+TIME(12,0,0),1)</f>
        <v>0.97916666666666674</v>
      </c>
      <c r="K9" s="15">
        <f>MOD(EST_OLD!K9+TIME(12,0,0),1)</f>
        <v>0.125</v>
      </c>
      <c r="L9" s="15">
        <f>MOD(EST_OLD!L9+TIME(12,0,0),1)</f>
        <v>5.2083333333333481E-2</v>
      </c>
      <c r="M9" s="15">
        <f>MOD(EST_OLD!M9+TIME(12,0,0),1)</f>
        <v>0.27083333333333348</v>
      </c>
      <c r="N9" t="str">
        <f>EST_OLD!N9</f>
        <v>Michael Dominguez</v>
      </c>
      <c r="O9" t="s">
        <v>84</v>
      </c>
      <c r="P9">
        <f t="shared" si="2"/>
        <v>0</v>
      </c>
    </row>
    <row r="10" spans="1:16" x14ac:dyDescent="0.3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"&amp;TEXT(MOD(TIMEVALUE(_xlfn.TEXTAFTER(_xlpm.s,"-"))+0.5,1),"hh:mm"))),IF(EST_OLD!$P10=1,EST!G10,EST_OLD!H10))</f>
        <v>21:00 - 08:00</v>
      </c>
      <c r="I10" t="str">
        <f t="shared" si="1"/>
        <v>Wed - Thu - Fri</v>
      </c>
      <c r="J10" s="15">
        <f>MOD(EST_OLD!J10+TIME(12,0,0),1)</f>
        <v>0.92708333333333326</v>
      </c>
      <c r="K10" s="15">
        <f>MOD(EST_OLD!K10+TIME(12,0,0),1)</f>
        <v>0.13541666666666652</v>
      </c>
      <c r="L10" s="15">
        <f>MOD(EST_OLD!L10+TIME(12,0,0),1)</f>
        <v>1.0416666666666519E-2</v>
      </c>
      <c r="M10" s="15">
        <f>MOD(EST_OLD!M10+TIME(12,0,0),1)</f>
        <v>0.25</v>
      </c>
      <c r="N10" t="str">
        <f>EST_OLD!N10</f>
        <v>Christopher Rodas</v>
      </c>
      <c r="O10" t="s">
        <v>84</v>
      </c>
      <c r="P10">
        <f t="shared" si="2"/>
        <v>0</v>
      </c>
    </row>
    <row r="11" spans="1:16" x14ac:dyDescent="0.3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"&amp;TEXT(MOD(TIMEVALUE(_xlfn.TEXTAFTER(_xlpm.s,"-"))+0.5,1),"hh:mm"))),IF(EST_OLD!$P11=1,EST!G11,EST_OLD!H11))</f>
        <v>20:00 - 07:00</v>
      </c>
      <c r="I11" t="str">
        <f t="shared" si="1"/>
        <v>Tue - Wed - Thu</v>
      </c>
      <c r="J11" s="15">
        <f>MOD(EST_OLD!J11+TIME(12,0,0),1)</f>
        <v>0.89583333333333326</v>
      </c>
      <c r="K11" s="15">
        <f>MOD(EST_OLD!K11+TIME(12,0,0),1)</f>
        <v>0.125</v>
      </c>
      <c r="L11" s="15">
        <f>MOD(EST_OLD!L11+TIME(12,0,0),1)</f>
        <v>0</v>
      </c>
      <c r="M11" s="15">
        <f>MOD(EST_OLD!M11+TIME(12,0,0),1)</f>
        <v>0.22916666666666652</v>
      </c>
      <c r="N11" t="str">
        <f>EST_OLD!N11</f>
        <v>Charmane Briones</v>
      </c>
      <c r="O11" t="s">
        <v>32</v>
      </c>
      <c r="P11">
        <f t="shared" si="2"/>
        <v>0</v>
      </c>
    </row>
    <row r="12" spans="1:16" x14ac:dyDescent="0.3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"&amp;TEXT(MOD(TIMEVALUE(_xlfn.TEXTAFTER(_xlpm.s,"-"))+0.5,1),"hh:mm"))),IF(EST_OLD!$P12=1,EST!G12,EST_OLD!H12))</f>
        <v>OFF</v>
      </c>
      <c r="I12" t="str">
        <f t="shared" si="1"/>
        <v>Tue - Sat - Sun</v>
      </c>
      <c r="J12" s="15">
        <f>MOD(EST_OLD!J12+TIME(12,0,0),1)</f>
        <v>0.95833333333333326</v>
      </c>
      <c r="K12" s="15">
        <f>MOD(EST_OLD!K12+TIME(12,0,0),1)</f>
        <v>6.25E-2</v>
      </c>
      <c r="L12" s="15">
        <f>MOD(EST_OLD!L12+TIME(12,0,0),1)</f>
        <v>0.25</v>
      </c>
      <c r="M12" s="15">
        <f>MOD(EST_OLD!M12+TIME(12,0,0),1)</f>
        <v>0.15625</v>
      </c>
      <c r="N12" t="str">
        <f>EST_OLD!N12</f>
        <v>Anmecha Valencia</v>
      </c>
      <c r="O12" t="s">
        <v>84</v>
      </c>
      <c r="P12">
        <f t="shared" si="2"/>
        <v>0</v>
      </c>
    </row>
    <row r="13" spans="1:16" x14ac:dyDescent="0.3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"&amp;TEXT(MOD(TIMEVALUE(_xlfn.TEXTAFTER(_xlpm.s,"-"))+0.5,1),"hh:mm"))),IF(EST_OLD!$P13=1,EST!G13,EST_OLD!H13))</f>
        <v>OFF</v>
      </c>
      <c r="I13" t="str">
        <f t="shared" si="1"/>
        <v>Wed - Sat - Sun</v>
      </c>
      <c r="J13" s="15">
        <f>MOD(EST_OLD!J13+TIME(12,0,0),1)</f>
        <v>0.69791666666666663</v>
      </c>
      <c r="K13" s="15">
        <f>MOD(EST_OLD!K13+TIME(12,0,0),1)</f>
        <v>0.9375</v>
      </c>
      <c r="L13" s="15">
        <f>MOD(EST_OLD!L13+TIME(12,0,0),1)</f>
        <v>0.8125</v>
      </c>
      <c r="M13" s="15">
        <f>MOD(EST_OLD!M13+TIME(12,0,0),1)</f>
        <v>4.1666666666666519E-2</v>
      </c>
      <c r="N13" t="str">
        <f>EST_OLD!N13</f>
        <v>Anmecha Valencia</v>
      </c>
      <c r="O13" t="s">
        <v>137</v>
      </c>
      <c r="P13">
        <f t="shared" si="2"/>
        <v>0</v>
      </c>
    </row>
    <row r="14" spans="1:16" x14ac:dyDescent="0.3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"&amp;TEXT(MOD(TIMEVALUE(_xlfn.TEXTAFTER(_xlpm.s,"-"))+0.5,1),"hh:mm"))),IF(EST_OLD!$P14=1,EST!G14,EST_OLD!H14))</f>
        <v>OFF</v>
      </c>
      <c r="I14" t="str">
        <f t="shared" si="1"/>
        <v>Mon - Sat - Sun</v>
      </c>
      <c r="J14" s="15">
        <f>MOD(EST_OLD!J14+TIME(12,0,0),1)</f>
        <v>0.95833333333333326</v>
      </c>
      <c r="K14" s="15">
        <f>MOD(EST_OLD!K14+TIME(12,0,0),1)</f>
        <v>4.1666666666666519E-2</v>
      </c>
      <c r="L14" s="15">
        <f>MOD(EST_OLD!L14+TIME(12,0,0),1)</f>
        <v>0.14583333333333348</v>
      </c>
      <c r="M14" s="15">
        <f>MOD(EST_OLD!M14+TIME(12,0,0),1)</f>
        <v>0.26041666666666652</v>
      </c>
      <c r="N14" t="str">
        <f>EST_OLD!N14</f>
        <v>Michael Dominguez</v>
      </c>
      <c r="O14" t="s">
        <v>84</v>
      </c>
      <c r="P14">
        <f t="shared" si="2"/>
        <v>0</v>
      </c>
    </row>
    <row r="15" spans="1:16" x14ac:dyDescent="0.3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"&amp;TEXT(MOD(TIMEVALUE(_xlfn.TEXTAFTER(_xlpm.s,"-"))+0.5,1),"hh:mm"))),IF(EST_OLD!$P15=1,EST!G15,EST_OLD!H15))</f>
        <v>OFF</v>
      </c>
      <c r="I15" t="str">
        <f t="shared" si="1"/>
        <v>Fri - Sat - Sun</v>
      </c>
      <c r="J15" s="15">
        <f>MOD(EST_OLD!J15+TIME(12,0,0),1)</f>
        <v>0.89583333333333326</v>
      </c>
      <c r="K15" s="15">
        <f>MOD(EST_OLD!K15+TIME(12,0,0),1)</f>
        <v>0.10416666666666652</v>
      </c>
      <c r="L15" s="15">
        <f>MOD(EST_OLD!L15+TIME(12,0,0),1)</f>
        <v>0.97916666666666674</v>
      </c>
      <c r="M15" s="15">
        <f>MOD(EST_OLD!M15+TIME(12,0,0),1)</f>
        <v>0.22916666666666652</v>
      </c>
      <c r="N15" t="str">
        <f>EST_OLD!N15</f>
        <v>Christopher Rodas</v>
      </c>
      <c r="O15" t="s">
        <v>138</v>
      </c>
      <c r="P15">
        <f t="shared" si="2"/>
        <v>0</v>
      </c>
    </row>
    <row r="16" spans="1:16" x14ac:dyDescent="0.3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"&amp;TEXT(MOD(TIMEVALUE(_xlfn.TEXTAFTER(_xlpm.s,"-"))+0.5,1),"hh:mm"))),IF(EST_OLD!$P16=1,EST!G16,EST_OLD!H16))</f>
        <v>OFF</v>
      </c>
      <c r="I16" t="str">
        <f t="shared" si="1"/>
        <v>Fri - Sat - Sun</v>
      </c>
      <c r="J16" s="15">
        <f>MOD(EST_OLD!J16+TIME(12,0,0),1)</f>
        <v>9.375E-2</v>
      </c>
      <c r="K16" s="15">
        <f>MOD(EST_OLD!K16+TIME(12,0,0),1)</f>
        <v>0.34375</v>
      </c>
      <c r="L16" s="15">
        <f>MOD(EST_OLD!L16+TIME(12,0,0),1)</f>
        <v>0.23958333333333348</v>
      </c>
      <c r="M16" s="15">
        <f>MOD(EST_OLD!M16+TIME(12,0,0),1)</f>
        <v>0.44791666666666652</v>
      </c>
      <c r="N16" t="str">
        <f>EST_OLD!N16</f>
        <v>Charmane Briones</v>
      </c>
      <c r="O16" t="s">
        <v>17</v>
      </c>
      <c r="P16">
        <f t="shared" si="2"/>
        <v>1</v>
      </c>
    </row>
    <row r="17" spans="1:16" x14ac:dyDescent="0.3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"&amp;TEXT(MOD(TIMEVALUE(_xlfn.TEXTAFTER(_xlpm.s,"-"))+0.5,1),"hh:mm"))),IF(EST_OLD!$P17=1,EST!G17,EST_OLD!H17))</f>
        <v>OFF</v>
      </c>
      <c r="I17" t="str">
        <f t="shared" si="1"/>
        <v>Fri - Sat - Sun</v>
      </c>
      <c r="J17" s="15">
        <f>MOD(EST_OLD!J17+TIME(12,0,0),1)</f>
        <v>0.73958333333333337</v>
      </c>
      <c r="K17" s="15">
        <f>MOD(EST_OLD!K17+TIME(12,0,0),1)</f>
        <v>2.0833333333333481E-2</v>
      </c>
      <c r="L17" s="15">
        <f>MOD(EST_OLD!L17+TIME(12,0,0),1)</f>
        <v>0.85416666666666674</v>
      </c>
      <c r="M17" s="15">
        <f>MOD(EST_OLD!M17+TIME(12,0,0),1)</f>
        <v>8.3333333333333481E-2</v>
      </c>
      <c r="N17" t="str">
        <f>EST_OLD!N17</f>
        <v>Charmane Briones</v>
      </c>
      <c r="O17" t="s">
        <v>135</v>
      </c>
      <c r="P17">
        <f t="shared" si="2"/>
        <v>0</v>
      </c>
    </row>
    <row r="18" spans="1:16" x14ac:dyDescent="0.3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"&amp;TEXT(MOD(TIMEVALUE(_xlfn.TEXTAFTER(_xlpm.s,"-"))+0.5,1),"hh:mm"))),IF(EST_OLD!$P18=1,EST!G18,EST_OLD!H18))</f>
        <v>20:00 - 07:00</v>
      </c>
      <c r="I18" t="str">
        <f t="shared" si="1"/>
        <v>Wed - Thu - Fri</v>
      </c>
      <c r="J18" s="15">
        <f>MOD(EST_OLD!J18+TIME(12,0,0),1)</f>
        <v>0.9375</v>
      </c>
      <c r="K18" s="15">
        <f>MOD(EST_OLD!K18+TIME(12,0,0),1)</f>
        <v>0.14583333333333348</v>
      </c>
      <c r="L18" s="15">
        <f>MOD(EST_OLD!L18+TIME(12,0,0),1)</f>
        <v>2.0833333333333481E-2</v>
      </c>
      <c r="M18" s="15">
        <f>MOD(EST_OLD!M18+TIME(12,0,0),1)</f>
        <v>0.25</v>
      </c>
      <c r="N18" t="str">
        <f>EST_OLD!N18</f>
        <v>Charmane Briones</v>
      </c>
      <c r="O18" t="s">
        <v>32</v>
      </c>
      <c r="P18">
        <f t="shared" si="2"/>
        <v>0</v>
      </c>
    </row>
    <row r="19" spans="1:16" x14ac:dyDescent="0.3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"&amp;TEXT(MOD(TIMEVALUE(_xlfn.TEXTAFTER(_xlpm.s,"-"))+0.5,1),"hh:mm"))),IF(EST_OLD!$P19=1,EST!G19,EST_OLD!H19))</f>
        <v>OFF</v>
      </c>
      <c r="I19" t="str">
        <f t="shared" si="1"/>
        <v>Fri - Sat - Sun</v>
      </c>
      <c r="J19" s="15">
        <f>MOD(EST_OLD!J19+TIME(12,0,0),1)</f>
        <v>4.1666666666666519E-2</v>
      </c>
      <c r="K19" s="15">
        <f>MOD(EST_OLD!K19+TIME(12,0,0),1)</f>
        <v>0.26041666666666652</v>
      </c>
      <c r="L19" s="15">
        <f>MOD(EST_OLD!L19+TIME(12,0,0),1)</f>
        <v>0.15625</v>
      </c>
      <c r="M19" s="15">
        <f>MOD(EST_OLD!M19+TIME(12,0,0),1)</f>
        <v>0.36458333333333348</v>
      </c>
      <c r="N19" t="str">
        <f>EST_OLD!N19</f>
        <v>Anmecha Valencia</v>
      </c>
      <c r="O19" t="s">
        <v>123</v>
      </c>
      <c r="P19">
        <f t="shared" si="2"/>
        <v>0</v>
      </c>
    </row>
    <row r="20" spans="1:16" x14ac:dyDescent="0.3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"&amp;TEXT(MOD(TIMEVALUE(_xlfn.TEXTAFTER(_xlpm.s,"-"))+0.5,1),"hh:mm"))),IF(EST_OLD!$P20=1,EST!G20,EST_OLD!H20))</f>
        <v>OFF</v>
      </c>
      <c r="I20" t="str">
        <f t="shared" si="1"/>
        <v>Thu - Sat - Sun</v>
      </c>
      <c r="J20" s="15">
        <f>MOD(EST_OLD!J20+TIME(12,0,0),1)</f>
        <v>0.92708333333333326</v>
      </c>
      <c r="K20" s="15">
        <f>MOD(EST_OLD!K20+TIME(12,0,0),1)</f>
        <v>0.12847222222222232</v>
      </c>
      <c r="L20" s="15">
        <f>MOD(EST_OLD!L20+TIME(12,0,0),1)</f>
        <v>6.9444444444444198E-3</v>
      </c>
      <c r="M20" s="15">
        <f>MOD(EST_OLD!M20+TIME(12,0,0),1)</f>
        <v>0.25</v>
      </c>
      <c r="N20" t="str">
        <f>EST_OLD!N20</f>
        <v>Anmecha Valencia</v>
      </c>
      <c r="O20" t="s">
        <v>84</v>
      </c>
      <c r="P20">
        <f t="shared" si="2"/>
        <v>0</v>
      </c>
    </row>
    <row r="21" spans="1:16" x14ac:dyDescent="0.3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"&amp;TEXT(MOD(TIMEVALUE(_xlfn.TEXTAFTER(_xlpm.s,"-"))+0.5,1),"hh:mm"))),IF(EST_OLD!$P21=1,EST!G21,EST_OLD!H21))</f>
        <v>OFF</v>
      </c>
      <c r="I21" t="str">
        <f t="shared" si="1"/>
        <v>Wed - Sat - Sun</v>
      </c>
      <c r="J21" s="15">
        <f>MOD(EST_OLD!J21+TIME(12,0,0),1)</f>
        <v>0.94791666666666674</v>
      </c>
      <c r="K21" s="15">
        <f>MOD(EST_OLD!K21+TIME(12,0,0),1)</f>
        <v>0.125</v>
      </c>
      <c r="L21" s="15">
        <f>MOD(EST_OLD!L21+TIME(12,0,0),1)</f>
        <v>2.0833333333333481E-2</v>
      </c>
      <c r="M21" s="15">
        <f>MOD(EST_OLD!M21+TIME(12,0,0),1)</f>
        <v>0.25</v>
      </c>
      <c r="N21" t="str">
        <f>EST_OLD!N21</f>
        <v>Anmecha Valencia</v>
      </c>
      <c r="O21" t="s">
        <v>84</v>
      </c>
      <c r="P21">
        <f t="shared" si="2"/>
        <v>0</v>
      </c>
    </row>
    <row r="22" spans="1:16" x14ac:dyDescent="0.3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"&amp;TEXT(MOD(TIMEVALUE(_xlfn.TEXTAFTER(_xlpm.s,"-"))+0.5,1),"hh:mm"))),IF(EST_OLD!$P22=1,EST!G22,EST_OLD!H22))</f>
        <v>22:30 - 09:30</v>
      </c>
      <c r="I22" t="str">
        <f t="shared" si="1"/>
        <v>Wed - Thu - Fri</v>
      </c>
      <c r="J22" s="15">
        <f>MOD(EST_OLD!J22+TIME(12,0,0),1)</f>
        <v>2.0833333333333481E-2</v>
      </c>
      <c r="K22" s="15">
        <f>MOD(EST_OLD!K22+TIME(12,0,0),1)</f>
        <v>0.11458333333333348</v>
      </c>
      <c r="L22" s="15">
        <f>MOD(EST_OLD!L22+TIME(12,0,0),1)</f>
        <v>0.16666666666666652</v>
      </c>
      <c r="M22" s="15">
        <f>MOD(EST_OLD!M22+TIME(12,0,0),1)</f>
        <v>0.30208333333333348</v>
      </c>
      <c r="N22" t="str">
        <f>EST_OLD!N22</f>
        <v>Michael Dominguez</v>
      </c>
      <c r="O22" t="s">
        <v>96</v>
      </c>
      <c r="P22">
        <f t="shared" si="2"/>
        <v>0</v>
      </c>
    </row>
    <row r="23" spans="1:16" x14ac:dyDescent="0.3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"&amp;TEXT(MOD(TIMEVALUE(_xlfn.TEXTAFTER(_xlpm.s,"-"))+0.5,1),"hh:mm"))),IF(EST_OLD!$P23=1,EST!G23,EST_OLD!H23))</f>
        <v>OFF</v>
      </c>
      <c r="I23" t="str">
        <f t="shared" si="1"/>
        <v>Fri - Sat - Sun</v>
      </c>
      <c r="J23" s="15">
        <f>MOD(EST_OLD!J23+TIME(12,0,0),1)</f>
        <v>0.92708333333333326</v>
      </c>
      <c r="K23" s="15">
        <f>MOD(EST_OLD!K23+TIME(12,0,0),1)</f>
        <v>2.0833333333333481E-2</v>
      </c>
      <c r="L23" s="15">
        <f>MOD(EST_OLD!L23+TIME(12,0,0),1)</f>
        <v>0.10416666666666652</v>
      </c>
      <c r="M23" s="15">
        <f>MOD(EST_OLD!M23+TIME(12,0,0),1)</f>
        <v>0.22916666666666652</v>
      </c>
      <c r="N23" t="str">
        <f>EST_OLD!N23</f>
        <v>Michael Dominguez</v>
      </c>
      <c r="O23" t="s">
        <v>153</v>
      </c>
      <c r="P23">
        <f t="shared" si="2"/>
        <v>0</v>
      </c>
    </row>
    <row r="24" spans="1:16" x14ac:dyDescent="0.3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"&amp;TEXT(MOD(TIMEVALUE(_xlfn.TEXTAFTER(_xlpm.s,"-"))+0.5,1),"hh:mm"))),IF(EST_OLD!$P24=1,EST!G24,EST_OLD!H24))</f>
        <v>01:00 - 12:00</v>
      </c>
      <c r="I24" t="str">
        <f t="shared" si="1"/>
        <v>Tue - Wed - Thu</v>
      </c>
      <c r="J24" s="15">
        <f>MOD(EST_OLD!J24+TIME(12,0,0),1)</f>
        <v>0.125</v>
      </c>
      <c r="K24" s="15">
        <f>MOD(EST_OLD!K24+TIME(12,0,0),1)</f>
        <v>0.21875</v>
      </c>
      <c r="L24" s="15">
        <f>MOD(EST_OLD!L24+TIME(12,0,0),1)</f>
        <v>0.3125</v>
      </c>
      <c r="M24" s="15">
        <f>MOD(EST_OLD!M24+TIME(12,0,0),1)</f>
        <v>0.4375</v>
      </c>
      <c r="N24" t="str">
        <f>EST_OLD!N24</f>
        <v>Christopher Rodas</v>
      </c>
      <c r="O24" t="s">
        <v>17</v>
      </c>
      <c r="P24">
        <f t="shared" si="2"/>
        <v>1</v>
      </c>
    </row>
    <row r="25" spans="1:16" x14ac:dyDescent="0.3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"&amp;TEXT(MOD(TIMEVALUE(_xlfn.TEXTAFTER(_xlpm.s,"-"))+0.5,1),"hh:mm"))),IF(EST_OLD!$P25=1,EST!G25,EST_OLD!H25))</f>
        <v>OFF</v>
      </c>
      <c r="I25" t="str">
        <f t="shared" si="1"/>
        <v>Thu - Fri - Sun</v>
      </c>
      <c r="J25" s="15">
        <f>MOD(EST_OLD!J25+TIME(12,0,0),1)</f>
        <v>0.39583333333333348</v>
      </c>
      <c r="K25" s="15">
        <f>MOD(EST_OLD!K25+TIME(12,0,0),1)</f>
        <v>0.60416666666666663</v>
      </c>
      <c r="L25" s="15">
        <f>MOD(EST_OLD!L25+TIME(12,0,0),1)</f>
        <v>0.47916666666666652</v>
      </c>
      <c r="M25" s="15">
        <f>MOD(EST_OLD!M25+TIME(12,0,0),1)</f>
        <v>0.6875</v>
      </c>
      <c r="N25" t="str">
        <f>EST_OLD!N25</f>
        <v>Christopher Rodas</v>
      </c>
      <c r="O25" t="s">
        <v>68</v>
      </c>
      <c r="P25">
        <f t="shared" si="2"/>
        <v>1</v>
      </c>
    </row>
    <row r="26" spans="1:16" x14ac:dyDescent="0.3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"&amp;TEXT(MOD(TIMEVALUE(_xlfn.TEXTAFTER(_xlpm.s,"-"))+0.5,1),"hh:mm"))),IF(EST_OLD!$P26=1,EST!G26,EST_OLD!H26))</f>
        <v>OFF</v>
      </c>
      <c r="I26" t="str">
        <f t="shared" si="1"/>
        <v>Fri - Sat - Sun</v>
      </c>
      <c r="J26" s="15">
        <f>MOD(EST_OLD!J26+TIME(12,0,0),1)</f>
        <v>0.84375</v>
      </c>
      <c r="K26" s="15">
        <f>MOD(EST_OLD!K26+TIME(12,0,0),1)</f>
        <v>0.9375</v>
      </c>
      <c r="L26" s="15">
        <f>MOD(EST_OLD!L26+TIME(12,0,0),1)</f>
        <v>7.2916666666666519E-2</v>
      </c>
      <c r="M26" s="15">
        <f>MOD(EST_OLD!M26+TIME(12,0,0),1)</f>
        <v>0.14583333333333348</v>
      </c>
      <c r="N26" t="str">
        <f>EST_OLD!N26</f>
        <v>Remmo Panaligan</v>
      </c>
      <c r="O26" t="s">
        <v>65</v>
      </c>
      <c r="P26">
        <f t="shared" si="2"/>
        <v>0</v>
      </c>
    </row>
    <row r="27" spans="1:16" x14ac:dyDescent="0.3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"&amp;TEXT(MOD(TIMEVALUE(_xlfn.TEXTAFTER(_xlpm.s,"-"))+0.5,1),"hh:mm"))),IF(EST_OLD!$P27=1,EST!G27,EST_OLD!H27))</f>
        <v>17:00 - 04:00</v>
      </c>
      <c r="I27" t="str">
        <f t="shared" si="1"/>
        <v>Thu - Fri - Sat</v>
      </c>
      <c r="J27" s="15">
        <f>MOD(EST_OLD!J27+TIME(12,0,0),1)</f>
        <v>0.80208333333333326</v>
      </c>
      <c r="K27" s="15">
        <f>MOD(EST_OLD!K27+TIME(12,0,0),1)</f>
        <v>4.1666666666666519E-2</v>
      </c>
      <c r="L27" s="15">
        <f>MOD(EST_OLD!L27+TIME(12,0,0),1)</f>
        <v>0.91666666666666674</v>
      </c>
      <c r="M27" s="15">
        <f>MOD(EST_OLD!M27+TIME(12,0,0),1)</f>
        <v>0.14583333333333348</v>
      </c>
      <c r="N27" t="str">
        <f>EST_OLD!N27</f>
        <v>Christopher Rodas</v>
      </c>
      <c r="O27" t="s">
        <v>41</v>
      </c>
      <c r="P27">
        <f t="shared" si="2"/>
        <v>0</v>
      </c>
    </row>
    <row r="28" spans="1:16" x14ac:dyDescent="0.3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"&amp;TEXT(MOD(TIMEVALUE(_xlfn.TEXTAFTER(_xlpm.s,"-"))+0.5,1),"hh:mm"))),IF(EST_OLD!$P28=1,EST!G28,EST_OLD!H28))</f>
        <v>OFF</v>
      </c>
      <c r="I28" t="str">
        <f t="shared" si="1"/>
        <v>Fri - Sat - Sun</v>
      </c>
      <c r="J28" s="15">
        <f>MOD(EST_OLD!J28+TIME(12,0,0),1)</f>
        <v>0.98958333333333326</v>
      </c>
      <c r="K28" s="15">
        <f>MOD(EST_OLD!K28+TIME(12,0,0),1)</f>
        <v>0.19791666666666652</v>
      </c>
      <c r="L28" s="15">
        <f>MOD(EST_OLD!L28+TIME(12,0,0),1)</f>
        <v>0.14583333333333348</v>
      </c>
      <c r="M28" s="15">
        <f>MOD(EST_OLD!M28+TIME(12,0,0),1)</f>
        <v>0.30208333333333348</v>
      </c>
      <c r="N28" t="str">
        <f>EST_OLD!N28</f>
        <v>Michael Dominguez</v>
      </c>
      <c r="O28" t="s">
        <v>111</v>
      </c>
      <c r="P28">
        <f t="shared" si="2"/>
        <v>0</v>
      </c>
    </row>
    <row r="29" spans="1:16" x14ac:dyDescent="0.3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"&amp;TEXT(MOD(TIMEVALUE(_xlfn.TEXTAFTER(_xlpm.s,"-"))+0.5,1),"hh:mm"))),IF(EST_OLD!$P29=1,EST!G29,EST_OLD!H29))</f>
        <v>OFF</v>
      </c>
      <c r="I29" t="str">
        <f t="shared" si="1"/>
        <v>Wed - Sat - Sun</v>
      </c>
      <c r="J29" s="15">
        <f>MOD(EST_OLD!J29+TIME(12,0,0),1)</f>
        <v>0.92708333333333326</v>
      </c>
      <c r="K29" s="15">
        <f>MOD(EST_OLD!K29+TIME(12,0,0),1)</f>
        <v>0.14583333333333348</v>
      </c>
      <c r="L29" s="15">
        <f>MOD(EST_OLD!L29+TIME(12,0,0),1)</f>
        <v>3.125E-2</v>
      </c>
      <c r="M29" s="15">
        <f>MOD(EST_OLD!M29+TIME(12,0,0),1)</f>
        <v>0.25</v>
      </c>
      <c r="N29" t="str">
        <f>EST_OLD!N29</f>
        <v>Remmo Panaligan</v>
      </c>
      <c r="O29" t="s">
        <v>32</v>
      </c>
      <c r="P29">
        <f t="shared" si="2"/>
        <v>0</v>
      </c>
    </row>
    <row r="30" spans="1:16" x14ac:dyDescent="0.3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"&amp;TEXT(MOD(TIMEVALUE(_xlfn.TEXTAFTER(_xlpm.s,"-"))+0.5,1),"hh:mm"))),IF(EST_OLD!$P30=1,EST!G30,EST_OLD!H30))</f>
        <v>OFF</v>
      </c>
      <c r="I30" t="str">
        <f t="shared" si="1"/>
        <v>Fri - Sat - Sun</v>
      </c>
      <c r="J30" s="15">
        <f>MOD(EST_OLD!J30+TIME(12,0,0),1)</f>
        <v>4.1666666666666519E-2</v>
      </c>
      <c r="K30" s="15">
        <f>MOD(EST_OLD!K30+TIME(12,0,0),1)</f>
        <v>0.26041666666666652</v>
      </c>
      <c r="L30" s="15">
        <f>MOD(EST_OLD!L30+TIME(12,0,0),1)</f>
        <v>0.13541666666666652</v>
      </c>
      <c r="M30" s="15">
        <f>MOD(EST_OLD!M30+TIME(12,0,0),1)</f>
        <v>0.36458333333333348</v>
      </c>
      <c r="N30" t="str">
        <f>EST_OLD!N30</f>
        <v>Remmo Panaligan</v>
      </c>
      <c r="O30" t="s">
        <v>123</v>
      </c>
      <c r="P30">
        <f t="shared" si="2"/>
        <v>0</v>
      </c>
    </row>
    <row r="31" spans="1:16" x14ac:dyDescent="0.3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"&amp;TEXT(MOD(TIMEVALUE(_xlfn.TEXTAFTER(_xlpm.s,"-"))+0.5,1),"hh:mm"))),IF(EST_OLD!$P31=1,EST!G31,EST_OLD!H31))</f>
        <v>14:00 - 01:00</v>
      </c>
      <c r="I31" t="str">
        <f t="shared" si="1"/>
        <v>Thu - Fri - Sat</v>
      </c>
      <c r="J31" s="15">
        <f>MOD(EST_OLD!J31+TIME(12,0,0),1)</f>
        <v>0.65625</v>
      </c>
      <c r="K31" s="15">
        <f>MOD(EST_OLD!K31+TIME(12,0,0),1)</f>
        <v>0.875</v>
      </c>
      <c r="L31" s="15">
        <f>MOD(EST_OLD!L31+TIME(12,0,0),1)</f>
        <v>0.75</v>
      </c>
      <c r="M31" s="15">
        <f>MOD(EST_OLD!M31+TIME(12,0,0),1)</f>
        <v>0.97916666666666674</v>
      </c>
      <c r="N31" t="str">
        <f>EST_OLD!N31</f>
        <v>Christopher Rodas</v>
      </c>
      <c r="O31" t="s">
        <v>136</v>
      </c>
      <c r="P31">
        <f t="shared" si="2"/>
        <v>0</v>
      </c>
    </row>
    <row r="32" spans="1:16" x14ac:dyDescent="0.3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"&amp;TEXT(MOD(TIMEVALUE(_xlfn.TEXTAFTER(_xlpm.s,"-"))+0.5,1),"hh:mm"))),IF(EST_OLD!$P32=1,EST!G32,EST_OLD!H32))</f>
        <v>OFF</v>
      </c>
      <c r="I32" t="str">
        <f t="shared" si="1"/>
        <v>Wed - Thu - Sun</v>
      </c>
      <c r="J32" s="15">
        <f>MOD(EST_OLD!J32+TIME(12,0,0),1)</f>
        <v>0.85416666666666674</v>
      </c>
      <c r="K32" s="15">
        <f>MOD(EST_OLD!K32+TIME(12,0,0),1)</f>
        <v>0.95833333333333326</v>
      </c>
      <c r="L32" s="15">
        <f>MOD(EST_OLD!L32+TIME(12,0,0),1)</f>
        <v>4.1666666666666519E-2</v>
      </c>
      <c r="M32" s="15">
        <f>MOD(EST_OLD!M32+TIME(12,0,0),1)</f>
        <v>0.20833333333333348</v>
      </c>
      <c r="N32" t="str">
        <f>EST_OLD!N32</f>
        <v>Charmane Briones</v>
      </c>
      <c r="O32" t="s">
        <v>53</v>
      </c>
      <c r="P32">
        <f t="shared" si="2"/>
        <v>0</v>
      </c>
    </row>
    <row r="33" spans="1:16" x14ac:dyDescent="0.3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"&amp;TEXT(MOD(TIMEVALUE(_xlfn.TEXTAFTER(_xlpm.s,"-"))+0.5,1),"hh:mm"))),IF(EST_OLD!$P33=1,EST!G33,EST_OLD!H33))</f>
        <v>OFF</v>
      </c>
      <c r="I33" t="str">
        <f t="shared" si="1"/>
        <v>Fri - Sat - Sun</v>
      </c>
      <c r="J33" s="15">
        <f>MOD(EST_OLD!J33+TIME(12,0,0),1)</f>
        <v>0.3125</v>
      </c>
      <c r="K33" s="15">
        <f>MOD(EST_OLD!K33+TIME(12,0,0),1)</f>
        <v>0.51041666666666663</v>
      </c>
      <c r="L33" s="15">
        <f>MOD(EST_OLD!L33+TIME(12,0,0),1)</f>
        <v>0.39583333333333348</v>
      </c>
      <c r="M33" s="15">
        <f>MOD(EST_OLD!M33+TIME(12,0,0),1)</f>
        <v>0.61458333333333337</v>
      </c>
      <c r="N33" t="str">
        <f>EST_OLD!N33</f>
        <v>Christopher Rodas</v>
      </c>
      <c r="O33" t="s">
        <v>70</v>
      </c>
      <c r="P33">
        <f t="shared" si="2"/>
        <v>1</v>
      </c>
    </row>
    <row r="34" spans="1:16" x14ac:dyDescent="0.3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"&amp;TEXT(MOD(TIMEVALUE(_xlfn.TEXTAFTER(_xlpm.s,"-"))+0.5,1),"hh:mm"))),IF(EST_OLD!$P34=1,EST!G34,EST_OLD!H34))</f>
        <v>OFF</v>
      </c>
      <c r="I34" t="str">
        <f t="shared" si="1"/>
        <v>Tue - Sat - Sun</v>
      </c>
      <c r="J34" s="15">
        <f>MOD(EST_OLD!J34+TIME(12,0,0),1)</f>
        <v>0.9375</v>
      </c>
      <c r="K34" s="15">
        <f>MOD(EST_OLD!K34+TIME(12,0,0),1)</f>
        <v>0.14583333333333348</v>
      </c>
      <c r="L34" s="15">
        <f>MOD(EST_OLD!L34+TIME(12,0,0),1)</f>
        <v>1.0416666666666519E-2</v>
      </c>
      <c r="M34" s="15">
        <f>MOD(EST_OLD!M34+TIME(12,0,0),1)</f>
        <v>0.25</v>
      </c>
      <c r="N34" t="str">
        <f>EST_OLD!N34</f>
        <v>Charmane Briones</v>
      </c>
      <c r="O34" t="s">
        <v>32</v>
      </c>
      <c r="P34">
        <f t="shared" si="2"/>
        <v>0</v>
      </c>
    </row>
    <row r="35" spans="1:16" x14ac:dyDescent="0.3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"&amp;TEXT(MOD(TIMEVALUE(_xlfn.TEXTAFTER(_xlpm.s,"-"))+0.5,1),"hh:mm"))),IF(EST_OLD!$P35=1,EST!G35,EST_OLD!H35))</f>
        <v>00:00 - 11:00</v>
      </c>
      <c r="I35" t="str">
        <f t="shared" si="1"/>
        <v>Mon - Tue - Wed</v>
      </c>
      <c r="J35" s="15">
        <f>MOD(EST_OLD!J35+TIME(12,0,0),1)</f>
        <v>8.3333333333333481E-2</v>
      </c>
      <c r="K35" s="15">
        <f>MOD(EST_OLD!K35+TIME(12,0,0),1)</f>
        <v>0.3125</v>
      </c>
      <c r="L35" s="15">
        <f>MOD(EST_OLD!L35+TIME(12,0,0),1)</f>
        <v>0.17708333333333348</v>
      </c>
      <c r="M35" s="15">
        <f>MOD(EST_OLD!M35+TIME(12,0,0),1)</f>
        <v>0.41666666666666652</v>
      </c>
      <c r="N35" t="str">
        <f>EST_OLD!N35</f>
        <v>Charmane Briones</v>
      </c>
      <c r="O35" t="s">
        <v>87</v>
      </c>
      <c r="P35">
        <f t="shared" si="2"/>
        <v>1</v>
      </c>
    </row>
    <row r="36" spans="1:16" x14ac:dyDescent="0.3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"&amp;TEXT(MOD(TIMEVALUE(_xlfn.TEXTAFTER(_xlpm.s,"-"))+0.5,1),"hh:mm"))),IF(EST_OLD!$P36=1,EST!G36,EST_OLD!H36))</f>
        <v>OFF</v>
      </c>
      <c r="I36" t="str">
        <f t="shared" si="1"/>
        <v>Mon - Sat - Sun</v>
      </c>
      <c r="J36" s="15">
        <f>MOD(EST_OLD!J36+TIME(12,0,0),1)</f>
        <v>0.71875</v>
      </c>
      <c r="K36" s="15">
        <f>MOD(EST_OLD!K36+TIME(12,0,0),1)</f>
        <v>0.88541666666666674</v>
      </c>
      <c r="L36" s="15">
        <f>MOD(EST_OLD!L36+TIME(12,0,0),1)</f>
        <v>0.80208333333333326</v>
      </c>
      <c r="M36" s="15">
        <f>MOD(EST_OLD!M36+TIME(12,0,0),1)</f>
        <v>0</v>
      </c>
      <c r="N36" t="str">
        <f>EST_OLD!N36</f>
        <v>Charmane Briones</v>
      </c>
      <c r="O36" t="s">
        <v>137</v>
      </c>
      <c r="P36">
        <f t="shared" si="2"/>
        <v>0</v>
      </c>
    </row>
    <row r="37" spans="1:16" x14ac:dyDescent="0.3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"&amp;TEXT(MOD(TIMEVALUE(_xlfn.TEXTAFTER(_xlpm.s,"-"))+0.5,1),"hh:mm"))),IF(EST_OLD!$P37=1,EST!G37,EST_OLD!H37))</f>
        <v>09:00 - 20:00</v>
      </c>
      <c r="I37" t="str">
        <f t="shared" si="1"/>
        <v>Thu - Fri - Sat</v>
      </c>
      <c r="J37" s="15">
        <f>MOD(EST_OLD!J37+TIME(12,0,0),1)</f>
        <v>0.46527777777777768</v>
      </c>
      <c r="K37" s="15">
        <f>MOD(EST_OLD!K37+TIME(12,0,0),1)</f>
        <v>0.59027777777777779</v>
      </c>
      <c r="L37" s="15">
        <f>MOD(EST_OLD!L37+TIME(12,0,0),1)</f>
        <v>0.68055555555555558</v>
      </c>
      <c r="M37" s="15">
        <f>MOD(EST_OLD!M37+TIME(12,0,0),1)</f>
        <v>0.79166666666666674</v>
      </c>
      <c r="N37" t="str">
        <f>EST_OLD!N37</f>
        <v>Anmecha Valencia</v>
      </c>
      <c r="O37" t="s">
        <v>36</v>
      </c>
      <c r="P37">
        <f t="shared" si="2"/>
        <v>1</v>
      </c>
    </row>
    <row r="38" spans="1:16" x14ac:dyDescent="0.3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"&amp;TEXT(MOD(TIMEVALUE(_xlfn.TEXTAFTER(_xlpm.s,"-"))+0.5,1),"hh:mm"))),IF(EST_OLD!$P38=1,EST!G38,EST_OLD!H38))</f>
        <v>OFF</v>
      </c>
      <c r="I38" t="str">
        <f t="shared" si="1"/>
        <v>Mon - Sat - Sun</v>
      </c>
      <c r="J38" s="15">
        <f>MOD(EST_OLD!J38+TIME(12,0,0),1)</f>
        <v>0.41666666666666652</v>
      </c>
      <c r="K38" s="15">
        <f>MOD(EST_OLD!K38+TIME(12,0,0),1)</f>
        <v>0.58333333333333337</v>
      </c>
      <c r="L38" s="15">
        <f>MOD(EST_OLD!L38+TIME(12,0,0),1)</f>
        <v>0.5</v>
      </c>
      <c r="M38" s="15">
        <f>MOD(EST_OLD!M38+TIME(12,0,0),1)</f>
        <v>0.66666666666666663</v>
      </c>
      <c r="N38" t="str">
        <f>EST_OLD!N38</f>
        <v>Charmane Briones</v>
      </c>
      <c r="O38" t="s">
        <v>25</v>
      </c>
      <c r="P38">
        <f t="shared" si="2"/>
        <v>1</v>
      </c>
    </row>
    <row r="39" spans="1:16" x14ac:dyDescent="0.3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"&amp;TEXT(MOD(TIMEVALUE(_xlfn.TEXTAFTER(_xlpm.s,"-"))+0.5,1),"hh:mm"))),IF(EST_OLD!$P39=1,EST!G39,EST_OLD!H39))</f>
        <v>OFF</v>
      </c>
      <c r="I39" t="str">
        <f t="shared" si="1"/>
        <v>Fri - Sat - Sun</v>
      </c>
      <c r="J39" s="15">
        <f>MOD(EST_OLD!J39+TIME(12,0,0),1)</f>
        <v>0.84375</v>
      </c>
      <c r="K39" s="15">
        <f>MOD(EST_OLD!K39+TIME(12,0,0),1)</f>
        <v>0.94791666666666674</v>
      </c>
      <c r="L39" s="15">
        <f>MOD(EST_OLD!L39+TIME(12,0,0),1)</f>
        <v>6.25E-2</v>
      </c>
      <c r="M39" s="15">
        <f>MOD(EST_OLD!M39+TIME(12,0,0),1)</f>
        <v>0.14583333333333348</v>
      </c>
      <c r="N39" t="str">
        <f>EST_OLD!N39</f>
        <v>Remmo Panaligan</v>
      </c>
      <c r="O39" t="s">
        <v>65</v>
      </c>
      <c r="P39">
        <f t="shared" si="2"/>
        <v>0</v>
      </c>
    </row>
    <row r="40" spans="1:16" x14ac:dyDescent="0.3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"&amp;TEXT(MOD(TIMEVALUE(_xlfn.TEXTAFTER(_xlpm.s,"-"))+0.5,1),"hh:mm"))),IF(EST_OLD!$P40=1,EST!G40,EST_OLD!H40))</f>
        <v>15:00 - 02:00</v>
      </c>
      <c r="I40" t="str">
        <f t="shared" si="1"/>
        <v>Thu - Fri - Sat</v>
      </c>
      <c r="J40" s="15">
        <f>MOD(EST_OLD!J40+TIME(12,0,0),1)</f>
        <v>0.71875</v>
      </c>
      <c r="K40" s="15">
        <f>MOD(EST_OLD!K40+TIME(12,0,0),1)</f>
        <v>0.88541666666666674</v>
      </c>
      <c r="L40" s="15">
        <f>MOD(EST_OLD!L40+TIME(12,0,0),1)</f>
        <v>0.80208333333333326</v>
      </c>
      <c r="M40" s="15">
        <f>MOD(EST_OLD!M40+TIME(12,0,0),1)</f>
        <v>0</v>
      </c>
      <c r="N40" t="str">
        <f>EST_OLD!N40</f>
        <v>Remmo Panaligan</v>
      </c>
      <c r="O40" t="s">
        <v>137</v>
      </c>
      <c r="P40">
        <f t="shared" si="2"/>
        <v>0</v>
      </c>
    </row>
    <row r="41" spans="1:16" x14ac:dyDescent="0.3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"&amp;TEXT(MOD(TIMEVALUE(_xlfn.TEXTAFTER(_xlpm.s,"-"))+0.5,1),"hh:mm"))),IF(EST_OLD!$P41=1,EST!G41,EST_OLD!H41))</f>
        <v>OFF</v>
      </c>
      <c r="I41" t="str">
        <f t="shared" si="1"/>
        <v>Mon - Sat - Sun</v>
      </c>
      <c r="J41" s="15">
        <f>MOD(EST_OLD!J41+TIME(12,0,0),1)</f>
        <v>0.125</v>
      </c>
      <c r="K41" s="15">
        <f>MOD(EST_OLD!K41+TIME(12,0,0),1)</f>
        <v>0.375</v>
      </c>
      <c r="L41" s="15">
        <f>MOD(EST_OLD!L41+TIME(12,0,0),1)</f>
        <v>0.25</v>
      </c>
      <c r="M41" s="15">
        <f>MOD(EST_OLD!M41+TIME(12,0,0),1)</f>
        <v>0.47916666666666652</v>
      </c>
      <c r="N41" t="str">
        <f>EST_OLD!N41</f>
        <v>Charmane Briones</v>
      </c>
      <c r="O41" t="s">
        <v>17</v>
      </c>
      <c r="P41">
        <f t="shared" si="2"/>
        <v>1</v>
      </c>
    </row>
    <row r="42" spans="1:16" x14ac:dyDescent="0.3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"&amp;TEXT(MOD(TIMEVALUE(_xlfn.TEXTAFTER(_xlpm.s,"-"))+0.5,1),"hh:mm"))),IF(EST_OLD!$P42=1,EST!G42,EST_OLD!H42))</f>
        <v>OFF</v>
      </c>
      <c r="I42" t="str">
        <f t="shared" si="1"/>
        <v>Mon - Sat - Sun</v>
      </c>
      <c r="J42" s="15">
        <f>MOD(EST_OLD!J42+TIME(12,0,0),1)</f>
        <v>0.71875</v>
      </c>
      <c r="K42" s="15">
        <f>MOD(EST_OLD!K42+TIME(12,0,0),1)</f>
        <v>0.89583333333333326</v>
      </c>
      <c r="L42" s="15">
        <f>MOD(EST_OLD!L42+TIME(12,0,0),1)</f>
        <v>0.79166666666666674</v>
      </c>
      <c r="M42" s="15">
        <f>MOD(EST_OLD!M42+TIME(12,0,0),1)</f>
        <v>0</v>
      </c>
      <c r="N42" t="str">
        <f>EST_OLD!N42</f>
        <v>Christopher Rodas</v>
      </c>
      <c r="O42" t="s">
        <v>137</v>
      </c>
      <c r="P42">
        <f t="shared" si="2"/>
        <v>0</v>
      </c>
    </row>
    <row r="43" spans="1:16" x14ac:dyDescent="0.3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"&amp;TEXT(MOD(TIMEVALUE(_xlfn.TEXTAFTER(_xlpm.s,"-"))+0.5,1),"hh:mm"))),IF(EST_OLD!$P43=1,EST!G43,EST_OLD!H43))</f>
        <v>OFF</v>
      </c>
      <c r="I43" t="str">
        <f t="shared" si="1"/>
        <v>Thu - Sat - Sun</v>
      </c>
      <c r="J43" s="15">
        <f>MOD(EST_OLD!J43+TIME(12,0,0),1)</f>
        <v>0</v>
      </c>
      <c r="K43" s="15">
        <f>MOD(EST_OLD!K43+TIME(12,0,0),1)</f>
        <v>0.21875</v>
      </c>
      <c r="L43" s="15">
        <f>MOD(EST_OLD!L43+TIME(12,0,0),1)</f>
        <v>9.375E-2</v>
      </c>
      <c r="M43" s="15">
        <f>MOD(EST_OLD!M43+TIME(12,0,0),1)</f>
        <v>0.32291666666666652</v>
      </c>
      <c r="N43" t="str">
        <f>EST_OLD!N43</f>
        <v>Anmecha Valencia</v>
      </c>
      <c r="O43" t="s">
        <v>96</v>
      </c>
      <c r="P43">
        <f t="shared" si="2"/>
        <v>0</v>
      </c>
    </row>
    <row r="44" spans="1:16" x14ac:dyDescent="0.3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"&amp;TEXT(MOD(TIMEVALUE(_xlfn.TEXTAFTER(_xlpm.s,"-"))+0.5,1),"hh:mm"))),IF(EST_OLD!$P44=1,EST!G44,EST_OLD!H44))</f>
        <v>OFF</v>
      </c>
      <c r="I44" t="str">
        <f t="shared" si="1"/>
        <v>Fri - Sat - Sun</v>
      </c>
      <c r="J44" s="15">
        <f>MOD(EST_OLD!J44+TIME(12,0,0),1)</f>
        <v>0.92708333333333326</v>
      </c>
      <c r="K44" s="15">
        <f>MOD(EST_OLD!K44+TIME(12,0,0),1)</f>
        <v>0.13541666666666652</v>
      </c>
      <c r="L44" s="15">
        <f>MOD(EST_OLD!L44+TIME(12,0,0),1)</f>
        <v>1.0416666666666519E-2</v>
      </c>
      <c r="M44" s="15">
        <f>MOD(EST_OLD!M44+TIME(12,0,0),1)</f>
        <v>0.23958333333333348</v>
      </c>
      <c r="N44" t="str">
        <f>EST_OLD!N44</f>
        <v>Remmo Panaligan</v>
      </c>
      <c r="O44" t="s">
        <v>32</v>
      </c>
      <c r="P44">
        <f t="shared" si="2"/>
        <v>0</v>
      </c>
    </row>
    <row r="45" spans="1:16" x14ac:dyDescent="0.3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"&amp;TEXT(MOD(TIMEVALUE(_xlfn.TEXTAFTER(_xlpm.s,"-"))+0.5,1),"hh:mm"))),IF(EST_OLD!$P45=1,EST!G45,EST_OLD!H45))</f>
        <v>10:30 - 21:30</v>
      </c>
      <c r="I45" t="str">
        <f t="shared" si="1"/>
        <v>Mon - Fri - Sat</v>
      </c>
      <c r="J45" s="15">
        <f>MOD(EST_OLD!J45+TIME(12,0,0),1)</f>
        <v>0.55208333333333337</v>
      </c>
      <c r="K45" s="15">
        <f>MOD(EST_OLD!K45+TIME(12,0,0),1)</f>
        <v>0.78125</v>
      </c>
      <c r="L45" s="15">
        <f>MOD(EST_OLD!L45+TIME(12,0,0),1)</f>
        <v>0.65625</v>
      </c>
      <c r="M45" s="15">
        <f>MOD(EST_OLD!M45+TIME(12,0,0),1)</f>
        <v>0.875</v>
      </c>
      <c r="N45" t="str">
        <f>EST_OLD!N45</f>
        <v>Christopher Rodas</v>
      </c>
      <c r="O45" t="s">
        <v>128</v>
      </c>
      <c r="P45">
        <f t="shared" si="2"/>
        <v>1</v>
      </c>
    </row>
    <row r="46" spans="1:16" x14ac:dyDescent="0.3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"&amp;TEXT(MOD(TIMEVALUE(_xlfn.TEXTAFTER(_xlpm.s,"-"))+0.5,1),"hh:mm"))),IF(EST_OLD!$P46=1,EST!G46,EST_OLD!H46))</f>
        <v>OFF</v>
      </c>
      <c r="I46" t="str">
        <f t="shared" si="1"/>
        <v>Fri - Sat - Sun</v>
      </c>
      <c r="J46" s="15">
        <f>MOD(EST_OLD!J46+TIME(12,0,0),1)</f>
        <v>0.92708333333333326</v>
      </c>
      <c r="K46" s="15">
        <f>MOD(EST_OLD!K46+TIME(12,0,0),1)</f>
        <v>2.0833333333333481E-2</v>
      </c>
      <c r="L46" s="15">
        <f>MOD(EST_OLD!L46+TIME(12,0,0),1)</f>
        <v>0.125</v>
      </c>
      <c r="M46" s="15">
        <f>MOD(EST_OLD!M46+TIME(12,0,0),1)</f>
        <v>0.25</v>
      </c>
      <c r="N46" t="str">
        <f>EST_OLD!N46</f>
        <v>Michael Dominguez</v>
      </c>
      <c r="O46" t="s">
        <v>32</v>
      </c>
      <c r="P46">
        <f t="shared" si="2"/>
        <v>0</v>
      </c>
    </row>
    <row r="47" spans="1:16" x14ac:dyDescent="0.3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"&amp;TEXT(MOD(TIMEVALUE(_xlfn.TEXTAFTER(_xlpm.s,"-"))+0.5,1),"hh:mm"))),IF(EST_OLD!$P47=1,EST!G47,EST_OLD!H47))</f>
        <v>OFF</v>
      </c>
      <c r="I47" t="str">
        <f t="shared" si="1"/>
        <v>Mon - Tue - Sun</v>
      </c>
      <c r="J47" s="15">
        <f>MOD(EST_OLD!J47+TIME(12,0,0),1)</f>
        <v>0.3125</v>
      </c>
      <c r="K47" s="15">
        <f>MOD(EST_OLD!K47+TIME(12,0,0),1)</f>
        <v>0.5</v>
      </c>
      <c r="L47" s="15">
        <f>MOD(EST_OLD!L47+TIME(12,0,0),1)</f>
        <v>0.40625</v>
      </c>
      <c r="M47" s="15">
        <f>MOD(EST_OLD!M47+TIME(12,0,0),1)</f>
        <v>0.60416666666666663</v>
      </c>
      <c r="N47" t="str">
        <f>EST_OLD!N47</f>
        <v>Charmane Briones</v>
      </c>
      <c r="O47" t="s">
        <v>70</v>
      </c>
      <c r="P47">
        <f t="shared" si="2"/>
        <v>1</v>
      </c>
    </row>
    <row r="48" spans="1:16" x14ac:dyDescent="0.3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"&amp;TEXT(MOD(TIMEVALUE(_xlfn.TEXTAFTER(_xlpm.s,"-"))+0.5,1),"hh:mm"))),IF(EST_OLD!$P48=1,EST!G48,EST_OLD!H48))</f>
        <v>OFF</v>
      </c>
      <c r="I48" t="str">
        <f t="shared" si="1"/>
        <v>Wed - Sat - Sun</v>
      </c>
      <c r="J48" s="15">
        <f>MOD(EST_OLD!J48+TIME(12,0,0),1)</f>
        <v>0.88541666666666674</v>
      </c>
      <c r="K48" s="15">
        <f>MOD(EST_OLD!K48+TIME(12,0,0),1)</f>
        <v>0</v>
      </c>
      <c r="L48" s="15">
        <f>MOD(EST_OLD!L48+TIME(12,0,0),1)</f>
        <v>8.3333333333333481E-2</v>
      </c>
      <c r="M48" s="15">
        <f>MOD(EST_OLD!M48+TIME(12,0,0),1)</f>
        <v>0.21875</v>
      </c>
      <c r="N48" t="str">
        <f>EST_OLD!N48</f>
        <v>Remmo Panaligan</v>
      </c>
      <c r="O48" t="s">
        <v>32</v>
      </c>
      <c r="P48">
        <f t="shared" si="2"/>
        <v>0</v>
      </c>
    </row>
    <row r="49" spans="1:16" x14ac:dyDescent="0.3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"&amp;TEXT(MOD(TIMEVALUE(_xlfn.TEXTAFTER(_xlpm.s,"-"))+0.5,1),"hh:mm"))),IF(EST_OLD!$P49=1,EST!G49,EST_OLD!H49))</f>
        <v>OFF</v>
      </c>
      <c r="I49" t="str">
        <f t="shared" si="1"/>
        <v>Wed - Sat - Sun</v>
      </c>
      <c r="J49" s="15">
        <f>MOD(EST_OLD!J49+TIME(12,0,0),1)</f>
        <v>0.95833333333333326</v>
      </c>
      <c r="K49" s="15">
        <f>MOD(EST_OLD!K49+TIME(12,0,0),1)</f>
        <v>0.19791666666666652</v>
      </c>
      <c r="L49" s="15">
        <f>MOD(EST_OLD!L49+TIME(12,0,0),1)</f>
        <v>7.2916666666666519E-2</v>
      </c>
      <c r="M49" s="15">
        <f>MOD(EST_OLD!M49+TIME(12,0,0),1)</f>
        <v>0.28125</v>
      </c>
      <c r="N49" t="str">
        <f>EST_OLD!N49</f>
        <v>Michael Dominguez</v>
      </c>
      <c r="O49" t="s">
        <v>84</v>
      </c>
      <c r="P49">
        <f t="shared" si="2"/>
        <v>0</v>
      </c>
    </row>
    <row r="50" spans="1:16" x14ac:dyDescent="0.3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"&amp;TEXT(MOD(TIMEVALUE(_xlfn.TEXTAFTER(_xlpm.s,"-"))+0.5,1),"hh:mm"))),IF(EST_OLD!$P50=1,EST!G50,EST_OLD!H50))</f>
        <v>OFF</v>
      </c>
      <c r="I50" t="str">
        <f t="shared" si="1"/>
        <v>Fri - Sat - Sun</v>
      </c>
      <c r="J50" s="15">
        <f>MOD(EST_OLD!J50+TIME(12,0,0),1)</f>
        <v>0.875</v>
      </c>
      <c r="K50" s="15">
        <f>MOD(EST_OLD!K50+TIME(12,0,0),1)</f>
        <v>0.97916666666666674</v>
      </c>
      <c r="L50" s="15">
        <f>MOD(EST_OLD!L50+TIME(12,0,0),1)</f>
        <v>8.3333333333333481E-2</v>
      </c>
      <c r="M50" s="15">
        <f>MOD(EST_OLD!M50+TIME(12,0,0),1)</f>
        <v>0.17708333333333348</v>
      </c>
      <c r="N50" t="str">
        <f>EST_OLD!N50</f>
        <v>Anmecha Valencia</v>
      </c>
      <c r="O50" t="s">
        <v>53</v>
      </c>
      <c r="P50">
        <f t="shared" si="2"/>
        <v>0</v>
      </c>
    </row>
    <row r="51" spans="1:16" x14ac:dyDescent="0.3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"&amp;TEXT(MOD(TIMEVALUE(_xlfn.TEXTAFTER(_xlpm.s,"-"))+0.5,1),"hh:mm"))),IF(EST_OLD!$P51=1,EST!G51,EST_OLD!H51))</f>
        <v>06:30 - 17:30</v>
      </c>
      <c r="I51" t="str">
        <f t="shared" si="1"/>
        <v>Mon - Tue - Wed</v>
      </c>
      <c r="J51" s="15">
        <f>MOD(EST_OLD!J51+TIME(12,0,0),1)</f>
        <v>0.35416666666666652</v>
      </c>
      <c r="K51" s="15">
        <f>MOD(EST_OLD!K51+TIME(12,0,0),1)</f>
        <v>0.57291666666666663</v>
      </c>
      <c r="L51" s="15">
        <f>MOD(EST_OLD!L51+TIME(12,0,0),1)</f>
        <v>0.44791666666666652</v>
      </c>
      <c r="M51" s="15">
        <f>MOD(EST_OLD!M51+TIME(12,0,0),1)</f>
        <v>0.67708333333333337</v>
      </c>
      <c r="N51" t="str">
        <f>EST_OLD!N51</f>
        <v>Christopher Rodas</v>
      </c>
      <c r="O51" t="s">
        <v>139</v>
      </c>
      <c r="P51">
        <f t="shared" si="2"/>
        <v>1</v>
      </c>
    </row>
    <row r="52" spans="1:16" x14ac:dyDescent="0.3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"&amp;TEXT(MOD(TIMEVALUE(_xlfn.TEXTAFTER(_xlpm.s,"-"))+0.5,1),"hh:mm"))),IF(EST_OLD!$P52=1,EST!G52,EST_OLD!H52))</f>
        <v>OFF</v>
      </c>
      <c r="I52" t="str">
        <f t="shared" si="1"/>
        <v>Fri - Sat - Sun</v>
      </c>
      <c r="J52" s="15">
        <f>MOD(EST_OLD!J52+TIME(12,0,0),1)</f>
        <v>0.97916666666666674</v>
      </c>
      <c r="K52" s="15">
        <f>MOD(EST_OLD!K52+TIME(12,0,0),1)</f>
        <v>0.17708333333333348</v>
      </c>
      <c r="L52" s="15">
        <f>MOD(EST_OLD!L52+TIME(12,0,0),1)</f>
        <v>7.2916666666666519E-2</v>
      </c>
      <c r="M52" s="15">
        <f>MOD(EST_OLD!M52+TIME(12,0,0),1)</f>
        <v>0.28125</v>
      </c>
      <c r="N52" t="str">
        <f>EST_OLD!N52</f>
        <v>Remmo Panaligan</v>
      </c>
      <c r="O52" t="s">
        <v>84</v>
      </c>
      <c r="P52">
        <f t="shared" si="2"/>
        <v>0</v>
      </c>
    </row>
    <row r="53" spans="1:16" x14ac:dyDescent="0.3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"&amp;TEXT(MOD(TIMEVALUE(_xlfn.TEXTAFTER(_xlpm.s,"-"))+0.5,1),"hh:mm"))),IF(EST_OLD!$P53=1,EST!G53,EST_OLD!H53))</f>
        <v>OFF</v>
      </c>
      <c r="I53" t="str">
        <f t="shared" si="1"/>
        <v>Mon - Sat - Sun</v>
      </c>
      <c r="J53" s="15">
        <f>MOD(EST_OLD!J53+TIME(12,0,0),1)</f>
        <v>0.96875</v>
      </c>
      <c r="K53" s="15">
        <f>MOD(EST_OLD!K53+TIME(12,0,0),1)</f>
        <v>6.25E-2</v>
      </c>
      <c r="L53" s="15">
        <f>MOD(EST_OLD!L53+TIME(12,0,0),1)</f>
        <v>0.125</v>
      </c>
      <c r="M53" s="15">
        <f>MOD(EST_OLD!M53+TIME(12,0,0),1)</f>
        <v>0.28125</v>
      </c>
      <c r="N53" t="str">
        <f>EST_OLD!N53</f>
        <v>Michael Dominguez</v>
      </c>
      <c r="O53" t="s">
        <v>84</v>
      </c>
      <c r="P53">
        <f t="shared" si="2"/>
        <v>0</v>
      </c>
    </row>
    <row r="54" spans="1:16" x14ac:dyDescent="0.3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"&amp;TEXT(MOD(TIMEVALUE(_xlfn.TEXTAFTER(_xlpm.s,"-"))+0.5,1),"hh:mm"))),IF(EST_OLD!$P54=1,EST!G54,EST_OLD!H54))</f>
        <v>17:00 - 04:00</v>
      </c>
      <c r="I54" t="str">
        <f t="shared" si="1"/>
        <v>Wed - Thu - Fri</v>
      </c>
      <c r="J54" s="15">
        <f>MOD(EST_OLD!J54+TIME(12,0,0),1)</f>
        <v>0.79166666666666674</v>
      </c>
      <c r="K54" s="15">
        <f>MOD(EST_OLD!K54+TIME(12,0,0),1)</f>
        <v>1.0416666666666519E-2</v>
      </c>
      <c r="L54" s="15">
        <f>MOD(EST_OLD!L54+TIME(12,0,0),1)</f>
        <v>0.88541666666666674</v>
      </c>
      <c r="M54" s="15">
        <f>MOD(EST_OLD!M54+TIME(12,0,0),1)</f>
        <v>0.11458333333333348</v>
      </c>
      <c r="N54" t="str">
        <f>EST_OLD!N54</f>
        <v>Remmo Panaligan</v>
      </c>
      <c r="O54" t="s">
        <v>41</v>
      </c>
      <c r="P54">
        <f t="shared" si="2"/>
        <v>0</v>
      </c>
    </row>
    <row r="55" spans="1:16" x14ac:dyDescent="0.3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"&amp;TEXT(MOD(TIMEVALUE(_xlfn.TEXTAFTER(_xlpm.s,"-"))+0.5,1),"hh:mm"))),IF(EST_OLD!$P55=1,EST!G55,EST_OLD!H55))</f>
        <v>09:00 - 20:00</v>
      </c>
      <c r="I55" t="str">
        <f t="shared" si="1"/>
        <v>Tue - Wed - Thu</v>
      </c>
      <c r="J55" s="15">
        <f>MOD(EST_OLD!J55+TIME(12,0,0),1)</f>
        <v>0.45833333333333348</v>
      </c>
      <c r="K55" s="15">
        <f>MOD(EST_OLD!K55+TIME(12,0,0),1)</f>
        <v>0.625</v>
      </c>
      <c r="L55" s="15">
        <f>MOD(EST_OLD!L55+TIME(12,0,0),1)</f>
        <v>0.70833333333333337</v>
      </c>
      <c r="M55" s="15">
        <f>MOD(EST_OLD!M55+TIME(12,0,0),1)</f>
        <v>0.79166666666666674</v>
      </c>
      <c r="N55" t="str">
        <f>EST_OLD!N55</f>
        <v>Christopher Rodas</v>
      </c>
      <c r="O55" t="s">
        <v>36</v>
      </c>
      <c r="P55">
        <f t="shared" si="2"/>
        <v>1</v>
      </c>
    </row>
    <row r="56" spans="1:16" x14ac:dyDescent="0.3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"&amp;TEXT(MOD(TIMEVALUE(_xlfn.TEXTAFTER(_xlpm.s,"-"))+0.5,1),"hh:mm"))),IF(EST_OLD!$P56=1,EST!G56,EST_OLD!H56))</f>
        <v>OFF</v>
      </c>
      <c r="I56" t="str">
        <f t="shared" si="1"/>
        <v>Mon - Sat - Sun</v>
      </c>
      <c r="J56" s="15">
        <f>MOD(EST_OLD!J56+TIME(12,0,0),1)</f>
        <v>0.5</v>
      </c>
      <c r="K56" s="15">
        <f>MOD(EST_OLD!K56+TIME(12,0,0),1)</f>
        <v>0.69791666666666663</v>
      </c>
      <c r="L56" s="15">
        <f>MOD(EST_OLD!L56+TIME(12,0,0),1)</f>
        <v>0.59375</v>
      </c>
      <c r="M56" s="15">
        <f>MOD(EST_OLD!M56+TIME(12,0,0),1)</f>
        <v>0.80208333333333326</v>
      </c>
      <c r="N56" t="str">
        <f>EST_OLD!N56</f>
        <v>Charmane Briones</v>
      </c>
      <c r="O56" t="s">
        <v>72</v>
      </c>
      <c r="P56">
        <f t="shared" si="2"/>
        <v>1</v>
      </c>
    </row>
    <row r="57" spans="1:16" x14ac:dyDescent="0.3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"&amp;TEXT(MOD(TIMEVALUE(_xlfn.TEXTAFTER(_xlpm.s,"-"))+0.5,1),"hh:mm"))),IF(EST_OLD!$P57=1,EST!G57,EST_OLD!H57))</f>
        <v>22:00 - 09:00</v>
      </c>
      <c r="I57" t="str">
        <f t="shared" si="1"/>
        <v>Mon - Tue - Wed</v>
      </c>
      <c r="J57" s="15">
        <f>MOD(EST_OLD!J57+TIME(12,0,0),1)</f>
        <v>0</v>
      </c>
      <c r="K57" s="15">
        <f>MOD(EST_OLD!K57+TIME(12,0,0),1)</f>
        <v>9.375E-2</v>
      </c>
      <c r="L57" s="15">
        <f>MOD(EST_OLD!L57+TIME(12,0,0),1)</f>
        <v>0.1875</v>
      </c>
      <c r="M57" s="15">
        <f>MOD(EST_OLD!M57+TIME(12,0,0),1)</f>
        <v>0.3125</v>
      </c>
      <c r="N57" t="str">
        <f>EST_OLD!N57</f>
        <v>Christopher Rodas</v>
      </c>
      <c r="O57" t="s">
        <v>111</v>
      </c>
      <c r="P57">
        <f t="shared" si="2"/>
        <v>0</v>
      </c>
    </row>
    <row r="58" spans="1:16" x14ac:dyDescent="0.3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"&amp;TEXT(MOD(TIMEVALUE(_xlfn.TEXTAFTER(_xlpm.s,"-"))+0.5,1),"hh:mm"))),IF(EST_OLD!$P58=1,EST!G58,EST_OLD!H58))</f>
        <v>OFF</v>
      </c>
      <c r="I58" t="str">
        <f t="shared" si="1"/>
        <v>Mon - Tue - Sun</v>
      </c>
      <c r="J58" s="15">
        <f>MOD(EST_OLD!J58+TIME(12,0,0),1)</f>
        <v>0.76041666666666674</v>
      </c>
      <c r="K58" s="15">
        <f>MOD(EST_OLD!K58+TIME(12,0,0),1)</f>
        <v>0.97916666666666674</v>
      </c>
      <c r="L58" s="15">
        <f>MOD(EST_OLD!L58+TIME(12,0,0),1)</f>
        <v>0.89583333333333326</v>
      </c>
      <c r="M58" s="15">
        <f>MOD(EST_OLD!M58+TIME(12,0,0),1)</f>
        <v>8.3333333333333481E-2</v>
      </c>
      <c r="N58" t="str">
        <f>EST_OLD!N58</f>
        <v>Christopher Rodas</v>
      </c>
      <c r="O58" t="s">
        <v>135</v>
      </c>
      <c r="P58">
        <f t="shared" si="2"/>
        <v>0</v>
      </c>
    </row>
    <row r="59" spans="1:16" x14ac:dyDescent="0.3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"&amp;TEXT(MOD(TIMEVALUE(_xlfn.TEXTAFTER(_xlpm.s,"-"))+0.5,1),"hh:mm"))),IF(EST_OLD!$P59=1,EST!G59,EST_OLD!H59))</f>
        <v>21:00 - 08:00</v>
      </c>
      <c r="I59" t="str">
        <f t="shared" si="1"/>
        <v>Tue - Wed - Thu</v>
      </c>
      <c r="J59" s="15">
        <f>MOD(EST_OLD!J59+TIME(12,0,0),1)</f>
        <v>0.96875</v>
      </c>
      <c r="K59" s="15">
        <f>MOD(EST_OLD!K59+TIME(12,0,0),1)</f>
        <v>0.17708333333333348</v>
      </c>
      <c r="L59" s="15">
        <f>MOD(EST_OLD!L59+TIME(12,0,0),1)</f>
        <v>6.25E-2</v>
      </c>
      <c r="M59" s="15">
        <f>MOD(EST_OLD!M59+TIME(12,0,0),1)</f>
        <v>0.28125</v>
      </c>
      <c r="N59" t="str">
        <f>EST_OLD!N59</f>
        <v>Christopher Rodas</v>
      </c>
      <c r="O59" t="s">
        <v>84</v>
      </c>
      <c r="P59">
        <f t="shared" si="2"/>
        <v>0</v>
      </c>
    </row>
    <row r="60" spans="1:16" x14ac:dyDescent="0.3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"&amp;TEXT(MOD(TIMEVALUE(_xlfn.TEXTAFTER(_xlpm.s,"-"))+0.5,1),"hh:mm"))),IF(EST_OLD!$P60=1,EST!G60,EST_OLD!H60))</f>
        <v>21:00 - 08:00</v>
      </c>
      <c r="I60" t="str">
        <f t="shared" si="1"/>
        <v>Tue - Wed - Thu</v>
      </c>
      <c r="J60" s="15">
        <f>MOD(EST_OLD!J60+TIME(12,0,0),1)</f>
        <v>0.94791666666666674</v>
      </c>
      <c r="K60" s="15">
        <f>MOD(EST_OLD!K60+TIME(12,0,0),1)</f>
        <v>0.15625</v>
      </c>
      <c r="L60" s="15">
        <f>MOD(EST_OLD!L60+TIME(12,0,0),1)</f>
        <v>4.1666666666666519E-2</v>
      </c>
      <c r="M60" s="15">
        <f>MOD(EST_OLD!M60+TIME(12,0,0),1)</f>
        <v>0.26041666666666652</v>
      </c>
      <c r="N60" t="str">
        <f>EST_OLD!N60</f>
        <v>Anmecha Valencia</v>
      </c>
      <c r="O60" t="s">
        <v>84</v>
      </c>
      <c r="P60">
        <f t="shared" si="2"/>
        <v>0</v>
      </c>
    </row>
    <row r="61" spans="1:16" x14ac:dyDescent="0.3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"&amp;TEXT(MOD(TIMEVALUE(_xlfn.TEXTAFTER(_xlpm.s,"-"))+0.5,1),"hh:mm"))),IF(EST_OLD!$P61=1,EST!G61,EST_OLD!H61))</f>
        <v>12:00 - 23:00</v>
      </c>
      <c r="I61" t="str">
        <f t="shared" si="1"/>
        <v>Wed - Thu - Fri</v>
      </c>
      <c r="J61" s="15">
        <f>MOD(EST_OLD!J61+TIME(12,0,0),1)</f>
        <v>0.58333333333333337</v>
      </c>
      <c r="K61" s="15">
        <f>MOD(EST_OLD!K61+TIME(12,0,0),1)</f>
        <v>0.66666666666666663</v>
      </c>
      <c r="L61" s="15">
        <f>MOD(EST_OLD!L61+TIME(12,0,0),1)</f>
        <v>0.79166666666666674</v>
      </c>
      <c r="M61" s="15">
        <f>MOD(EST_OLD!M61+TIME(12,0,0),1)</f>
        <v>0.91666666666666674</v>
      </c>
      <c r="N61" t="str">
        <f>EST_OLD!N61</f>
        <v>Chris Borromeo</v>
      </c>
      <c r="O61" t="s">
        <v>81</v>
      </c>
      <c r="P61">
        <f t="shared" si="2"/>
        <v>0</v>
      </c>
    </row>
    <row r="62" spans="1:16" x14ac:dyDescent="0.3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"&amp;TEXT(MOD(TIMEVALUE(_xlfn.TEXTAFTER(_xlpm.s,"-"))+0.5,1),"hh:mm"))),IF(EST_OLD!$P62=1,EST!G62,EST_OLD!H62))</f>
        <v>11:00 - 22:00</v>
      </c>
      <c r="I62" t="str">
        <f t="shared" si="1"/>
        <v>Tue - Wed - Sat</v>
      </c>
      <c r="J62" s="15">
        <f>MOD(EST_OLD!J62+TIME(12,0,0),1)</f>
        <v>0.53125</v>
      </c>
      <c r="K62" s="15">
        <f>MOD(EST_OLD!K62+TIME(12,0,0),1)</f>
        <v>0.66666666666666663</v>
      </c>
      <c r="L62" s="15">
        <f>MOD(EST_OLD!L62+TIME(12,0,0),1)</f>
        <v>0.8125</v>
      </c>
      <c r="M62" s="15">
        <f>MOD(EST_OLD!M62+TIME(12,0,0),1)</f>
        <v>0.875</v>
      </c>
      <c r="N62" t="str">
        <f>EST_OLD!N62</f>
        <v>Anmecha Valencia</v>
      </c>
      <c r="O62" t="s">
        <v>59</v>
      </c>
      <c r="P62">
        <f t="shared" si="2"/>
        <v>1</v>
      </c>
    </row>
    <row r="63" spans="1:16" x14ac:dyDescent="0.3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"&amp;TEXT(MOD(TIMEVALUE(_xlfn.TEXTAFTER(_xlpm.s,"-"))+0.5,1),"hh:mm"))),IF(EST_OLD!$P63=1,EST!G63,EST_OLD!H63))</f>
        <v>OFF</v>
      </c>
      <c r="I63" t="str">
        <f t="shared" si="1"/>
        <v>Mon - Tue - Sun</v>
      </c>
      <c r="J63" s="15">
        <f>MOD(EST_OLD!J63+TIME(12,0,0),1)</f>
        <v>0.97916666666666674</v>
      </c>
      <c r="K63" s="15">
        <f>MOD(EST_OLD!K63+TIME(12,0,0),1)</f>
        <v>0.19791666666666652</v>
      </c>
      <c r="L63" s="15">
        <f>MOD(EST_OLD!L63+TIME(12,0,0),1)</f>
        <v>8.3333333333333481E-2</v>
      </c>
      <c r="M63" s="15">
        <f>MOD(EST_OLD!M63+TIME(12,0,0),1)</f>
        <v>0.30208333333333348</v>
      </c>
      <c r="N63" t="str">
        <f>EST_OLD!N63</f>
        <v>Charmane Briones</v>
      </c>
      <c r="O63" t="s">
        <v>84</v>
      </c>
      <c r="P63">
        <f t="shared" si="2"/>
        <v>0</v>
      </c>
    </row>
    <row r="64" spans="1:16" x14ac:dyDescent="0.3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"&amp;TEXT(MOD(TIMEVALUE(_xlfn.TEXTAFTER(_xlpm.s,"-"))+0.5,1),"hh:mm"))),IF(EST_OLD!$P64=1,EST!G64,EST_OLD!H64))</f>
        <v>19:00 - 06:00</v>
      </c>
      <c r="I64" t="str">
        <f t="shared" si="1"/>
        <v>Wed - Thu - Fri</v>
      </c>
      <c r="J64" s="15">
        <f>MOD(EST_OLD!J64+TIME(12,0,0),1)</f>
        <v>0.86458333333333326</v>
      </c>
      <c r="K64" s="15">
        <f>MOD(EST_OLD!K64+TIME(12,0,0),1)</f>
        <v>7.2916666666666519E-2</v>
      </c>
      <c r="L64" s="15">
        <f>MOD(EST_OLD!L64+TIME(12,0,0),1)</f>
        <v>0.94791666666666674</v>
      </c>
      <c r="M64" s="15">
        <f>MOD(EST_OLD!M64+TIME(12,0,0),1)</f>
        <v>0.17708333333333348</v>
      </c>
      <c r="N64" t="str">
        <f>EST_OLD!N64</f>
        <v>Michael Dominguez</v>
      </c>
      <c r="O64" t="s">
        <v>53</v>
      </c>
      <c r="P64">
        <f t="shared" si="2"/>
        <v>0</v>
      </c>
    </row>
    <row r="65" spans="1:16" x14ac:dyDescent="0.3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"&amp;TEXT(MOD(TIMEVALUE(_xlfn.TEXTAFTER(_xlpm.s,"-"))+0.5,1),"hh:mm"))),IF(EST_OLD!$P65=1,EST!G65,EST_OLD!H65))</f>
        <v>OFF</v>
      </c>
      <c r="I65" t="str">
        <f t="shared" si="1"/>
        <v>Thu - Sat - Sun</v>
      </c>
      <c r="J65" s="15">
        <f>MOD(EST_OLD!J65+TIME(12,0,0),1)</f>
        <v>4.1666666666666519E-2</v>
      </c>
      <c r="K65" s="15">
        <f>MOD(EST_OLD!K65+TIME(12,0,0),1)</f>
        <v>0.26041666666666652</v>
      </c>
      <c r="L65" s="15">
        <f>MOD(EST_OLD!L65+TIME(12,0,0),1)</f>
        <v>0.15625</v>
      </c>
      <c r="M65" s="15">
        <f>MOD(EST_OLD!M65+TIME(12,0,0),1)</f>
        <v>0.36458333333333348</v>
      </c>
      <c r="N65" t="str">
        <f>EST_OLD!N65</f>
        <v>Anmecha Valencia</v>
      </c>
      <c r="O65" t="s">
        <v>123</v>
      </c>
      <c r="P65">
        <f t="shared" si="2"/>
        <v>0</v>
      </c>
    </row>
    <row r="66" spans="1:16" x14ac:dyDescent="0.3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"&amp;TEXT(MOD(TIMEVALUE(_xlfn.TEXTAFTER(_xlpm.s,"-"))+0.5,1),"hh:mm"))),IF(EST_OLD!$P66=1,EST!G66,EST_OLD!H66))</f>
        <v>OFF</v>
      </c>
      <c r="I66" t="str">
        <f t="shared" si="1"/>
        <v>Fri - Sat - Sun</v>
      </c>
      <c r="J66" s="15">
        <f>MOD(EST_OLD!J66+TIME(12,0,0),1)</f>
        <v>0</v>
      </c>
      <c r="K66" s="15">
        <f>MOD(EST_OLD!K66+TIME(12,0,0),1)</f>
        <v>0.21875</v>
      </c>
      <c r="L66" s="15">
        <f>MOD(EST_OLD!L66+TIME(12,0,0),1)</f>
        <v>0.10416666666666652</v>
      </c>
      <c r="M66" s="15">
        <f>MOD(EST_OLD!M66+TIME(12,0,0),1)</f>
        <v>0.29166666666666652</v>
      </c>
      <c r="N66" t="str">
        <f>EST_OLD!N66</f>
        <v>Charmane Briones</v>
      </c>
      <c r="O66" t="s">
        <v>111</v>
      </c>
      <c r="P66">
        <f t="shared" ref="P66:P68" si="3">IF(
TIMEVALUE(LEFT(O66,FIND("-",O66)-1))&gt;=12/24,
0,
1
)</f>
        <v>0</v>
      </c>
    </row>
    <row r="67" spans="1:16" x14ac:dyDescent="0.3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"&amp;TEXT(MOD(TIMEVALUE(_xlfn.TEXTAFTER(_xlpm.s,"-"))+0.5,1),"hh:mm"))),IF(EST_OLD!$P67=1,EST!G67,EST_OLD!H67))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15">
        <f>MOD(EST_OLD!J67+TIME(12,0,0),1)</f>
        <v>0.86458333333333326</v>
      </c>
      <c r="K67" s="15">
        <f>MOD(EST_OLD!K67+TIME(12,0,0),1)</f>
        <v>7.2916666666666519E-2</v>
      </c>
      <c r="L67" s="15">
        <f>MOD(EST_OLD!L67+TIME(12,0,0),1)</f>
        <v>0.94791666666666674</v>
      </c>
      <c r="M67" s="15">
        <f>MOD(EST_OLD!M67+TIME(12,0,0),1)</f>
        <v>0.17708333333333348</v>
      </c>
      <c r="N67" t="str">
        <f>EST_OLD!N67</f>
        <v>Christopher Rodas</v>
      </c>
      <c r="O67" t="s">
        <v>53</v>
      </c>
      <c r="P67">
        <f t="shared" si="3"/>
        <v>0</v>
      </c>
    </row>
    <row r="68" spans="1:16" x14ac:dyDescent="0.3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"&amp;TEXT(MOD(TIMEVALUE(_xlfn.TEXTAFTER(_xlpm.s,"-"))+0.5,1),"hh:mm"))),IF(EST_OLD!$P68=1,EST!#REF!,EST_OLD!H68))</f>
        <v>OFF</v>
      </c>
      <c r="I68" t="str">
        <f t="shared" si="4"/>
        <v>Fri - Sat - Sun</v>
      </c>
      <c r="J68" s="15">
        <f>MOD(EST_OLD!J68+TIME(12,0,0),1)</f>
        <v>0.92708333333333326</v>
      </c>
      <c r="K68" s="15">
        <f>MOD(EST_OLD!K68+TIME(12,0,0),1)</f>
        <v>0.14583333333333348</v>
      </c>
      <c r="L68" s="15">
        <f>MOD(EST_OLD!L68+TIME(12,0,0),1)</f>
        <v>1.0416666666666519E-2</v>
      </c>
      <c r="M68" s="15">
        <f>MOD(EST_OLD!M68+TIME(12,0,0),1)</f>
        <v>0.26041666666666652</v>
      </c>
      <c r="N68" t="str">
        <f>EST_OLD!N68</f>
        <v>Anmecha Valencia</v>
      </c>
      <c r="O68" t="s">
        <v>32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70"/>
  <sheetViews>
    <sheetView topLeftCell="A45" workbookViewId="0">
      <selection activeCell="B73" sqref="B73"/>
    </sheetView>
  </sheetViews>
  <sheetFormatPr defaultRowHeight="14.4" x14ac:dyDescent="0.3"/>
  <cols>
    <col min="1" max="1" width="26.6640625" customWidth="1"/>
    <col min="2" max="2" width="19.109375" style="13" customWidth="1"/>
    <col min="3" max="3" width="22.5546875" customWidth="1"/>
    <col min="4" max="4" width="16.6640625" bestFit="1" customWidth="1"/>
  </cols>
  <sheetData>
    <row r="1" spans="1:4" ht="17.399999999999999" thickBot="1" x14ac:dyDescent="0.35">
      <c r="A1" s="9" t="s">
        <v>0</v>
      </c>
      <c r="B1" s="12" t="s">
        <v>154</v>
      </c>
      <c r="C1" s="9" t="s">
        <v>155</v>
      </c>
      <c r="D1" s="9" t="s">
        <v>13</v>
      </c>
    </row>
    <row r="2" spans="1:4" x14ac:dyDescent="0.3">
      <c r="A2" s="8" t="s">
        <v>75</v>
      </c>
      <c r="B2" s="13">
        <v>46315</v>
      </c>
      <c r="C2" t="s">
        <v>156</v>
      </c>
      <c r="D2" t="str">
        <f>_xlfn.IFNA(VLOOKUP(A2,EST!A:N,14,FALSE),"")</f>
        <v>Christopher Rodas</v>
      </c>
    </row>
    <row r="3" spans="1:4" x14ac:dyDescent="0.3">
      <c r="A3" t="s">
        <v>39</v>
      </c>
      <c r="B3" s="13">
        <v>46315</v>
      </c>
      <c r="C3" t="s">
        <v>156</v>
      </c>
      <c r="D3" t="str">
        <f>_xlfn.IFNA(VLOOKUP(A3,EST!A:N,14,FALSE),"")</f>
        <v>Michael Dominguez</v>
      </c>
    </row>
    <row r="4" spans="1:4" x14ac:dyDescent="0.3">
      <c r="A4" t="s">
        <v>16</v>
      </c>
      <c r="B4" s="13">
        <v>46315</v>
      </c>
      <c r="C4" t="s">
        <v>156</v>
      </c>
      <c r="D4" t="str">
        <f>_xlfn.IFNA(VLOOKUP(A4,EST!A:N,14,FALSE),"")</f>
        <v>Remmo Panaligan</v>
      </c>
    </row>
    <row r="5" spans="1:4" x14ac:dyDescent="0.3">
      <c r="A5" t="s">
        <v>147</v>
      </c>
      <c r="B5" s="13">
        <v>46316</v>
      </c>
      <c r="C5" t="s">
        <v>156</v>
      </c>
      <c r="D5" t="str">
        <f>_xlfn.IFNA(VLOOKUP(A5,EST!A:N,14,FALSE),"")</f>
        <v/>
      </c>
    </row>
    <row r="6" spans="1:4" x14ac:dyDescent="0.3">
      <c r="A6" t="s">
        <v>91</v>
      </c>
      <c r="B6" s="13">
        <v>46317</v>
      </c>
      <c r="C6" t="s">
        <v>156</v>
      </c>
      <c r="D6" t="str">
        <f>_xlfn.IFNA(VLOOKUP(A6,EST!A:N,14,FALSE),"")</f>
        <v>Manilyn Abellar</v>
      </c>
    </row>
    <row r="7" spans="1:4" x14ac:dyDescent="0.3">
      <c r="A7" t="s">
        <v>46</v>
      </c>
      <c r="B7" s="13">
        <v>46317</v>
      </c>
      <c r="C7" t="s">
        <v>156</v>
      </c>
      <c r="D7" t="str">
        <f>_xlfn.IFNA(VLOOKUP(A7,EST!A:N,14,FALSE),"")</f>
        <v>Anmecha Valencia</v>
      </c>
    </row>
    <row r="8" spans="1:4" x14ac:dyDescent="0.3">
      <c r="A8" t="s">
        <v>147</v>
      </c>
      <c r="B8" s="13">
        <v>46317</v>
      </c>
      <c r="C8" t="s">
        <v>156</v>
      </c>
      <c r="D8" t="str">
        <f>_xlfn.IFNA(VLOOKUP(A8,EST!A:N,14,FALSE),"")</f>
        <v/>
      </c>
    </row>
    <row r="9" spans="1:4" x14ac:dyDescent="0.3">
      <c r="A9" t="s">
        <v>61</v>
      </c>
      <c r="B9" s="13">
        <v>46318</v>
      </c>
      <c r="C9" t="s">
        <v>156</v>
      </c>
      <c r="D9" t="str">
        <f>_xlfn.IFNA(VLOOKUP(A9,EST!A:N,14,FALSE),"")</f>
        <v>Anmecha Valencia</v>
      </c>
    </row>
    <row r="10" spans="1:4" x14ac:dyDescent="0.3">
      <c r="A10" t="s">
        <v>49</v>
      </c>
      <c r="B10" s="13">
        <v>46318</v>
      </c>
      <c r="C10" t="s">
        <v>156</v>
      </c>
      <c r="D10" t="str">
        <f>_xlfn.IFNA(VLOOKUP(A10,EST!A:N,14,FALSE),"")</f>
        <v>Michael Dominguez</v>
      </c>
    </row>
    <row r="11" spans="1:4" x14ac:dyDescent="0.3">
      <c r="A11" t="s">
        <v>122</v>
      </c>
      <c r="B11" s="13">
        <v>46318</v>
      </c>
      <c r="C11" t="s">
        <v>156</v>
      </c>
      <c r="D11" t="str">
        <f>_xlfn.IFNA(VLOOKUP(A11,EST!A:N,14,FALSE),"")</f>
        <v>Anmecha Valencia</v>
      </c>
    </row>
    <row r="12" spans="1:4" x14ac:dyDescent="0.3">
      <c r="A12" t="s">
        <v>52</v>
      </c>
      <c r="B12" s="13">
        <v>46319</v>
      </c>
      <c r="C12" t="s">
        <v>157</v>
      </c>
      <c r="D12" t="str">
        <f>_xlfn.IFNA(VLOOKUP(A12,EST!A:N,14,FALSE),"")</f>
        <v>Manilyn Abellar</v>
      </c>
    </row>
    <row r="13" spans="1:4" x14ac:dyDescent="0.3">
      <c r="A13" s="6" t="s">
        <v>108</v>
      </c>
      <c r="B13" s="13">
        <v>46320</v>
      </c>
      <c r="C13" t="s">
        <v>156</v>
      </c>
      <c r="D13" t="str">
        <f>_xlfn.IFNA(VLOOKUP(A13,EST!A:N,14,FALSE),"")</f>
        <v>Remmo Panaligan</v>
      </c>
    </row>
    <row r="14" spans="1:4" x14ac:dyDescent="0.3">
      <c r="A14" t="s">
        <v>52</v>
      </c>
      <c r="B14" s="13">
        <v>46320</v>
      </c>
      <c r="C14" t="s">
        <v>157</v>
      </c>
      <c r="D14" t="str">
        <f>_xlfn.IFNA(VLOOKUP(A14,EST!A:N,14,FALSE),"")</f>
        <v>Manilyn Abellar</v>
      </c>
    </row>
    <row r="15" spans="1:4" x14ac:dyDescent="0.3">
      <c r="A15" t="s">
        <v>126</v>
      </c>
      <c r="B15" s="13">
        <v>46321</v>
      </c>
      <c r="C15" t="s">
        <v>156</v>
      </c>
      <c r="D15" t="str">
        <f>_xlfn.IFNA(VLOOKUP(A15,EST!A:N,14,FALSE),"")</f>
        <v>Michael Dominguez</v>
      </c>
    </row>
    <row r="16" spans="1:4" x14ac:dyDescent="0.3">
      <c r="A16" t="s">
        <v>88</v>
      </c>
      <c r="B16" s="13">
        <v>46321</v>
      </c>
      <c r="C16" t="s">
        <v>156</v>
      </c>
      <c r="D16" t="str">
        <f>_xlfn.IFNA(VLOOKUP(A16,EST!A:N,14,FALSE),"")</f>
        <v>Remmo Panaligan</v>
      </c>
    </row>
    <row r="17" spans="1:4" x14ac:dyDescent="0.3">
      <c r="A17" t="s">
        <v>74</v>
      </c>
      <c r="B17" s="13">
        <v>46321</v>
      </c>
      <c r="C17" t="s">
        <v>156</v>
      </c>
      <c r="D17" t="str">
        <f>_xlfn.IFNA(VLOOKUP(A17,EST!A:N,14,FALSE),"")</f>
        <v>Remmo Panaligan</v>
      </c>
    </row>
    <row r="18" spans="1:4" x14ac:dyDescent="0.3">
      <c r="A18" t="s">
        <v>61</v>
      </c>
      <c r="B18" s="13">
        <v>46321</v>
      </c>
      <c r="C18" t="s">
        <v>156</v>
      </c>
      <c r="D18" t="str">
        <f>_xlfn.IFNA(VLOOKUP(A18,EST!A:N,14,FALSE),"")</f>
        <v>Anmecha Valencia</v>
      </c>
    </row>
    <row r="19" spans="1:4" x14ac:dyDescent="0.3">
      <c r="A19" t="s">
        <v>126</v>
      </c>
      <c r="B19" s="13">
        <v>46322</v>
      </c>
      <c r="C19" t="s">
        <v>156</v>
      </c>
      <c r="D19" t="str">
        <f>_xlfn.IFNA(VLOOKUP(A19,EST!A:N,14,FALSE),"")</f>
        <v>Michael Dominguez</v>
      </c>
    </row>
    <row r="20" spans="1:4" x14ac:dyDescent="0.3">
      <c r="A20" t="s">
        <v>88</v>
      </c>
      <c r="B20" s="13">
        <v>46322</v>
      </c>
      <c r="C20" t="s">
        <v>156</v>
      </c>
      <c r="D20" t="str">
        <f>_xlfn.IFNA(VLOOKUP(A20,EST!A:N,14,FALSE),"")</f>
        <v>Remmo Panaligan</v>
      </c>
    </row>
    <row r="21" spans="1:4" x14ac:dyDescent="0.3">
      <c r="A21" t="s">
        <v>74</v>
      </c>
      <c r="B21" s="13">
        <v>46322</v>
      </c>
      <c r="C21" t="s">
        <v>156</v>
      </c>
      <c r="D21" t="str">
        <f>_xlfn.IFNA(VLOOKUP(A21,EST!A:N,14,FALSE),"")</f>
        <v>Remmo Panaligan</v>
      </c>
    </row>
    <row r="22" spans="1:4" x14ac:dyDescent="0.3">
      <c r="A22" t="s">
        <v>61</v>
      </c>
      <c r="B22" s="13">
        <v>46322</v>
      </c>
      <c r="C22" t="s">
        <v>156</v>
      </c>
      <c r="D22" t="str">
        <f>_xlfn.IFNA(VLOOKUP(A22,EST!A:N,14,FALSE),"")</f>
        <v>Anmecha Valencia</v>
      </c>
    </row>
    <row r="23" spans="1:4" x14ac:dyDescent="0.3">
      <c r="A23" t="s">
        <v>69</v>
      </c>
      <c r="B23" s="13">
        <v>46322</v>
      </c>
      <c r="C23" t="s">
        <v>156</v>
      </c>
      <c r="D23" t="str">
        <f>_xlfn.IFNA(VLOOKUP(A23,EST!A:N,14,FALSE),"")</f>
        <v>Christopher Rodas</v>
      </c>
    </row>
    <row r="24" spans="1:4" x14ac:dyDescent="0.3">
      <c r="A24" t="s">
        <v>86</v>
      </c>
      <c r="B24" s="13">
        <v>46322</v>
      </c>
      <c r="C24" t="s">
        <v>157</v>
      </c>
      <c r="D24" t="str">
        <f>_xlfn.IFNA(VLOOKUP(A24,EST!A:N,14,FALSE),"")</f>
        <v>Manilyn Abellar</v>
      </c>
    </row>
    <row r="25" spans="1:4" x14ac:dyDescent="0.3">
      <c r="A25" s="16" t="s">
        <v>52</v>
      </c>
      <c r="B25" s="13">
        <v>46322</v>
      </c>
      <c r="C25" t="s">
        <v>157</v>
      </c>
      <c r="D25" t="str">
        <f>_xlfn.IFNA(VLOOKUP(A25,EST!A:N,14,FALSE),"")</f>
        <v>Manilyn Abellar</v>
      </c>
    </row>
    <row r="26" spans="1:4" x14ac:dyDescent="0.3">
      <c r="A26" s="16" t="s">
        <v>69</v>
      </c>
      <c r="B26" s="13">
        <v>46323</v>
      </c>
      <c r="C26" t="s">
        <v>156</v>
      </c>
      <c r="D26" t="str">
        <f>_xlfn.IFNA(VLOOKUP(A26,EST!A:N,14,FALSE),"")</f>
        <v>Christopher Rodas</v>
      </c>
    </row>
    <row r="27" spans="1:4" x14ac:dyDescent="0.3">
      <c r="A27" t="s">
        <v>28</v>
      </c>
      <c r="B27" s="13">
        <v>46323</v>
      </c>
      <c r="C27" t="s">
        <v>156</v>
      </c>
      <c r="D27" t="str">
        <f>_xlfn.IFNA(VLOOKUP(A27,EST!A:N,14,FALSE),"")</f>
        <v>Manilyn Abellar</v>
      </c>
    </row>
    <row r="28" spans="1:4" x14ac:dyDescent="0.3">
      <c r="A28" s="41" t="s">
        <v>86</v>
      </c>
      <c r="B28" s="13">
        <v>46323</v>
      </c>
      <c r="C28" t="s">
        <v>157</v>
      </c>
      <c r="D28" t="str">
        <f>_xlfn.IFNA(VLOOKUP(A28,EST!A:N,14,FALSE),"")</f>
        <v>Manilyn Abellar</v>
      </c>
    </row>
    <row r="29" spans="1:4" x14ac:dyDescent="0.3">
      <c r="A29" t="s">
        <v>52</v>
      </c>
      <c r="B29" s="13">
        <v>46323</v>
      </c>
      <c r="C29" t="s">
        <v>157</v>
      </c>
      <c r="D29" t="str">
        <f>_xlfn.IFNA(VLOOKUP(A29,EST!A:N,14,FALSE),"")</f>
        <v>Manilyn Abellar</v>
      </c>
    </row>
    <row r="30" spans="1:4" x14ac:dyDescent="0.3">
      <c r="A30" t="s">
        <v>100</v>
      </c>
      <c r="B30" s="13">
        <v>46324</v>
      </c>
      <c r="C30" t="s">
        <v>156</v>
      </c>
      <c r="D30" t="str">
        <f>_xlfn.IFNA(VLOOKUP(A30,EST!A:N,14,FALSE),"")</f>
        <v>Remmo Panaligan</v>
      </c>
    </row>
    <row r="31" spans="1:4" x14ac:dyDescent="0.3">
      <c r="A31" t="s">
        <v>51</v>
      </c>
      <c r="B31" s="13">
        <v>46324</v>
      </c>
      <c r="C31" t="s">
        <v>156</v>
      </c>
      <c r="D31" t="str">
        <f>_xlfn.IFNA(VLOOKUP(A31,EST!A:N,14,FALSE),"")</f>
        <v>Christopher Rodas</v>
      </c>
    </row>
    <row r="32" spans="1:4" x14ac:dyDescent="0.3">
      <c r="A32" t="s">
        <v>61</v>
      </c>
      <c r="B32" s="13">
        <v>46324</v>
      </c>
      <c r="C32" t="s">
        <v>156</v>
      </c>
      <c r="D32" t="str">
        <f>_xlfn.IFNA(VLOOKUP(A32,EST!A:N,14,FALSE),"")</f>
        <v>Anmecha Valencia</v>
      </c>
    </row>
    <row r="33" spans="1:4" x14ac:dyDescent="0.3">
      <c r="A33" t="s">
        <v>91</v>
      </c>
      <c r="B33" s="13">
        <v>46324</v>
      </c>
      <c r="C33" t="s">
        <v>156</v>
      </c>
      <c r="D33" t="str">
        <f>_xlfn.IFNA(VLOOKUP(A33,EST!A:N,14,FALSE),"")</f>
        <v>Manilyn Abellar</v>
      </c>
    </row>
    <row r="34" spans="1:4" x14ac:dyDescent="0.3">
      <c r="A34" s="41" t="s">
        <v>86</v>
      </c>
      <c r="B34" s="13">
        <v>46324</v>
      </c>
      <c r="C34" t="s">
        <v>157</v>
      </c>
      <c r="D34" t="str">
        <f>_xlfn.IFNA(VLOOKUP(A34,EST!A:N,14,FALSE),"")</f>
        <v>Manilyn Abellar</v>
      </c>
    </row>
    <row r="35" spans="1:4" x14ac:dyDescent="0.3">
      <c r="A35" t="s">
        <v>52</v>
      </c>
      <c r="B35" s="13">
        <v>46324</v>
      </c>
      <c r="C35" t="s">
        <v>157</v>
      </c>
      <c r="D35" t="str">
        <f>_xlfn.IFNA(VLOOKUP(A35,EST!A:N,14,FALSE),"")</f>
        <v>Manilyn Abellar</v>
      </c>
    </row>
    <row r="36" spans="1:4" x14ac:dyDescent="0.3">
      <c r="A36" t="s">
        <v>77</v>
      </c>
      <c r="B36" s="13">
        <v>46325</v>
      </c>
      <c r="C36" t="s">
        <v>156</v>
      </c>
      <c r="D36" t="str">
        <f>_xlfn.IFNA(VLOOKUP(A36,EST!A:N,14,FALSE),"")</f>
        <v>Manilyn Abellar</v>
      </c>
    </row>
    <row r="37" spans="1:4" x14ac:dyDescent="0.3">
      <c r="A37" s="41" t="s">
        <v>86</v>
      </c>
      <c r="B37" s="13">
        <v>46325</v>
      </c>
      <c r="C37" t="s">
        <v>157</v>
      </c>
      <c r="D37" t="str">
        <f>_xlfn.IFNA(VLOOKUP(A37,EST!A:N,14,FALSE),"")</f>
        <v>Manilyn Abellar</v>
      </c>
    </row>
    <row r="38" spans="1:4" x14ac:dyDescent="0.3">
      <c r="A38" t="s">
        <v>52</v>
      </c>
      <c r="B38" s="13">
        <v>46325</v>
      </c>
      <c r="C38" t="s">
        <v>157</v>
      </c>
      <c r="D38" t="str">
        <f>_xlfn.IFNA(VLOOKUP(A38,EST!A:N,14,FALSE),"")</f>
        <v>Manilyn Abellar</v>
      </c>
    </row>
    <row r="39" spans="1:4" x14ac:dyDescent="0.3">
      <c r="A39" t="s">
        <v>61</v>
      </c>
      <c r="B39" s="13">
        <v>46325</v>
      </c>
      <c r="C39" t="s">
        <v>156</v>
      </c>
      <c r="D39" t="str">
        <f>_xlfn.IFNA(VLOOKUP(A39,EST!A:N,14,FALSE),"")</f>
        <v>Anmecha Valencia</v>
      </c>
    </row>
    <row r="40" spans="1:4" x14ac:dyDescent="0.3">
      <c r="A40" t="s">
        <v>49</v>
      </c>
      <c r="B40" s="13">
        <v>46325</v>
      </c>
      <c r="C40" t="s">
        <v>156</v>
      </c>
      <c r="D40" t="str">
        <f>_xlfn.IFNA(VLOOKUP(A40,EST!A:N,14,FALSE),"")</f>
        <v>Michael Dominguez</v>
      </c>
    </row>
    <row r="41" spans="1:4" x14ac:dyDescent="0.3">
      <c r="A41" t="s">
        <v>24</v>
      </c>
      <c r="B41" s="13">
        <v>46325</v>
      </c>
      <c r="C41" t="s">
        <v>156</v>
      </c>
      <c r="D41" t="str">
        <f>_xlfn.IFNA(VLOOKUP(A41,EST!A:N,14,FALSE),"")</f>
        <v>Manilyn Abellar</v>
      </c>
    </row>
    <row r="42" spans="1:4" x14ac:dyDescent="0.3">
      <c r="A42" t="s">
        <v>64</v>
      </c>
      <c r="B42" s="13">
        <v>46326</v>
      </c>
      <c r="C42" t="s">
        <v>156</v>
      </c>
      <c r="D42" t="str">
        <f>_xlfn.IFNA(VLOOKUP(A42,EST!A:N,14,FALSE),"")</f>
        <v>Christopher Rodas</v>
      </c>
    </row>
    <row r="43" spans="1:4" x14ac:dyDescent="0.3">
      <c r="A43" s="41" t="s">
        <v>86</v>
      </c>
      <c r="B43" s="13">
        <v>46326</v>
      </c>
      <c r="C43" t="s">
        <v>157</v>
      </c>
      <c r="D43" t="str">
        <f>_xlfn.IFNA(VLOOKUP(A43,EST!A:N,14,FALSE),"")</f>
        <v>Manilyn Abellar</v>
      </c>
    </row>
    <row r="44" spans="1:4" x14ac:dyDescent="0.3">
      <c r="A44" t="s">
        <v>52</v>
      </c>
      <c r="B44" s="13">
        <v>46326</v>
      </c>
      <c r="C44" t="s">
        <v>157</v>
      </c>
      <c r="D44" t="str">
        <f>_xlfn.IFNA(VLOOKUP(A44,EST!A:N,14,FALSE),"")</f>
        <v>Manilyn Abellar</v>
      </c>
    </row>
    <row r="45" spans="1:4" x14ac:dyDescent="0.3">
      <c r="A45" t="s">
        <v>52</v>
      </c>
      <c r="B45" s="13">
        <v>46327</v>
      </c>
      <c r="C45" t="s">
        <v>157</v>
      </c>
      <c r="D45" t="str">
        <f>_xlfn.IFNA(VLOOKUP(A45,EST!A:N,14,FALSE),"")</f>
        <v>Manilyn Abellar</v>
      </c>
    </row>
    <row r="46" spans="1:4" x14ac:dyDescent="0.3">
      <c r="A46" t="s">
        <v>75</v>
      </c>
      <c r="B46" s="13">
        <v>46327</v>
      </c>
      <c r="C46" t="s">
        <v>156</v>
      </c>
      <c r="D46" t="str">
        <f>_xlfn.IFNA(VLOOKUP(A46,EST!A:N,14,FALSE),"")</f>
        <v>Christopher Rodas</v>
      </c>
    </row>
    <row r="47" spans="1:4" x14ac:dyDescent="0.3">
      <c r="A47" t="s">
        <v>109</v>
      </c>
      <c r="B47" s="13">
        <v>46327</v>
      </c>
      <c r="C47" t="s">
        <v>156</v>
      </c>
      <c r="D47" t="str">
        <f>_xlfn.IFNA(VLOOKUP(A47,EST!A:N,14,FALSE),"")</f>
        <v>Christopher Rodas</v>
      </c>
    </row>
    <row r="48" spans="1:4" x14ac:dyDescent="0.3">
      <c r="A48" t="s">
        <v>158</v>
      </c>
      <c r="B48" s="13">
        <v>46328</v>
      </c>
      <c r="C48" t="s">
        <v>157</v>
      </c>
      <c r="D48" t="s">
        <v>43</v>
      </c>
    </row>
    <row r="49" spans="1:4" x14ac:dyDescent="0.3">
      <c r="A49" t="s">
        <v>91</v>
      </c>
      <c r="B49" s="13">
        <v>46328</v>
      </c>
      <c r="C49" t="s">
        <v>156</v>
      </c>
      <c r="D49" t="str">
        <f>_xlfn.IFNA(VLOOKUP(A49,EST!A:N,14,FALSE),"")</f>
        <v>Manilyn Abellar</v>
      </c>
    </row>
    <row r="50" spans="1:4" x14ac:dyDescent="0.3">
      <c r="A50" t="s">
        <v>75</v>
      </c>
      <c r="B50" s="13">
        <v>46328</v>
      </c>
      <c r="C50" t="s">
        <v>156</v>
      </c>
      <c r="D50" t="str">
        <f>_xlfn.IFNA(VLOOKUP(A50,EST!A:N,14,FALSE),"")</f>
        <v>Christopher Rodas</v>
      </c>
    </row>
    <row r="51" spans="1:4" x14ac:dyDescent="0.3">
      <c r="A51" t="s">
        <v>159</v>
      </c>
      <c r="B51" s="13">
        <v>46328</v>
      </c>
      <c r="C51" t="s">
        <v>156</v>
      </c>
      <c r="D51" t="s">
        <v>34</v>
      </c>
    </row>
    <row r="52" spans="1:4" x14ac:dyDescent="0.3">
      <c r="A52" t="s">
        <v>158</v>
      </c>
      <c r="B52" s="13">
        <v>46329</v>
      </c>
      <c r="C52" t="s">
        <v>157</v>
      </c>
      <c r="D52" t="s">
        <v>43</v>
      </c>
    </row>
    <row r="53" spans="1:4" x14ac:dyDescent="0.3">
      <c r="A53" t="s">
        <v>16</v>
      </c>
      <c r="B53" s="13">
        <v>46329</v>
      </c>
      <c r="C53" t="s">
        <v>156</v>
      </c>
      <c r="D53" t="str">
        <f>_xlfn.IFNA(VLOOKUP(A53,EST!A:N,14,FALSE),"")</f>
        <v>Remmo Panaligan</v>
      </c>
    </row>
    <row r="54" spans="1:4" x14ac:dyDescent="0.3">
      <c r="A54" t="s">
        <v>75</v>
      </c>
      <c r="B54" s="13">
        <v>46329</v>
      </c>
      <c r="C54" t="s">
        <v>156</v>
      </c>
      <c r="D54" t="str">
        <f>_xlfn.IFNA(VLOOKUP(A54,EST!A:N,14,FALSE),"")</f>
        <v>Christopher Rodas</v>
      </c>
    </row>
    <row r="55" spans="1:4" x14ac:dyDescent="0.3">
      <c r="A55" t="s">
        <v>92</v>
      </c>
      <c r="B55" s="13">
        <v>46329</v>
      </c>
      <c r="C55" t="s">
        <v>156</v>
      </c>
      <c r="D55" t="str">
        <f>_xlfn.IFNA(VLOOKUP(A55,EST!A:N,14,FALSE),"")</f>
        <v>Christopher Rodas</v>
      </c>
    </row>
    <row r="56" spans="1:4" x14ac:dyDescent="0.3">
      <c r="A56" t="s">
        <v>49</v>
      </c>
      <c r="B56" s="13">
        <v>46329</v>
      </c>
      <c r="C56" t="s">
        <v>156</v>
      </c>
      <c r="D56" t="s">
        <v>43</v>
      </c>
    </row>
    <row r="57" spans="1:4" x14ac:dyDescent="0.3">
      <c r="A57" t="s">
        <v>129</v>
      </c>
      <c r="B57" s="13">
        <v>46329</v>
      </c>
      <c r="C57" t="s">
        <v>156</v>
      </c>
      <c r="D57" t="s">
        <v>43</v>
      </c>
    </row>
    <row r="58" spans="1:4" x14ac:dyDescent="0.3">
      <c r="A58" t="s">
        <v>129</v>
      </c>
      <c r="B58" s="13">
        <v>46330</v>
      </c>
      <c r="C58" t="s">
        <v>156</v>
      </c>
      <c r="D58" t="str">
        <f>_xlfn.IFNA(VLOOKUP(A58,EST!A:N,14,FALSE),"")</f>
        <v>Anmecha Valencia</v>
      </c>
    </row>
    <row r="59" spans="1:4" x14ac:dyDescent="0.3">
      <c r="A59" t="s">
        <v>164</v>
      </c>
      <c r="B59" s="13">
        <v>46330</v>
      </c>
      <c r="C59" t="s">
        <v>156</v>
      </c>
      <c r="D59" t="s">
        <v>34</v>
      </c>
    </row>
    <row r="60" spans="1:4" x14ac:dyDescent="0.3">
      <c r="A60" t="s">
        <v>75</v>
      </c>
      <c r="B60" s="13">
        <v>46330</v>
      </c>
      <c r="C60" t="s">
        <v>156</v>
      </c>
      <c r="D60" t="str">
        <f>_xlfn.IFNA(VLOOKUP(A60,EST!A:N,14,FALSE),"")</f>
        <v>Christopher Rodas</v>
      </c>
    </row>
    <row r="61" spans="1:4" x14ac:dyDescent="0.3">
      <c r="A61" t="s">
        <v>92</v>
      </c>
      <c r="B61" s="13">
        <v>46330</v>
      </c>
      <c r="C61" t="s">
        <v>156</v>
      </c>
      <c r="D61" t="str">
        <f>_xlfn.IFNA(VLOOKUP(A61,EST!A:N,14,FALSE),"")</f>
        <v>Christopher Rodas</v>
      </c>
    </row>
    <row r="62" spans="1:4" x14ac:dyDescent="0.3">
      <c r="A62" t="s">
        <v>166</v>
      </c>
      <c r="B62" s="13">
        <v>46331</v>
      </c>
      <c r="C62" t="s">
        <v>156</v>
      </c>
      <c r="D62" t="s">
        <v>38</v>
      </c>
    </row>
    <row r="63" spans="1:4" x14ac:dyDescent="0.3">
      <c r="A63" t="s">
        <v>165</v>
      </c>
      <c r="B63" s="13">
        <v>46331</v>
      </c>
      <c r="C63" t="s">
        <v>156</v>
      </c>
      <c r="D63" t="s">
        <v>20</v>
      </c>
    </row>
    <row r="64" spans="1:4" x14ac:dyDescent="0.3">
      <c r="A64" t="s">
        <v>91</v>
      </c>
      <c r="B64" s="13">
        <v>46331</v>
      </c>
      <c r="C64" t="s">
        <v>156</v>
      </c>
      <c r="D64" t="str">
        <f>_xlfn.IFNA(VLOOKUP(A64,EST!A:N,14,FALSE),"")</f>
        <v>Manilyn Abellar</v>
      </c>
    </row>
    <row r="65" spans="1:4" x14ac:dyDescent="0.3">
      <c r="A65" t="s">
        <v>92</v>
      </c>
      <c r="B65" s="13">
        <v>46331</v>
      </c>
      <c r="C65" t="s">
        <v>156</v>
      </c>
      <c r="D65" t="str">
        <f>_xlfn.IFNA(VLOOKUP(A65,EST!A:N,14,FALSE),"")</f>
        <v>Christopher Rodas</v>
      </c>
    </row>
    <row r="66" spans="1:4" x14ac:dyDescent="0.3">
      <c r="A66" t="s">
        <v>92</v>
      </c>
      <c r="B66" s="13">
        <v>46332</v>
      </c>
      <c r="C66" t="s">
        <v>156</v>
      </c>
      <c r="D66" t="str">
        <f>_xlfn.IFNA(VLOOKUP(A66,EST!A:N,14,FALSE),"")</f>
        <v>Christopher Rodas</v>
      </c>
    </row>
    <row r="67" spans="1:4" x14ac:dyDescent="0.3">
      <c r="A67" t="s">
        <v>158</v>
      </c>
      <c r="B67" s="13">
        <v>46333</v>
      </c>
      <c r="C67" t="s">
        <v>156</v>
      </c>
      <c r="D67" t="s">
        <v>43</v>
      </c>
    </row>
    <row r="68" spans="1:4" x14ac:dyDescent="0.3">
      <c r="A68" t="s">
        <v>122</v>
      </c>
      <c r="B68" s="13">
        <v>46333</v>
      </c>
      <c r="C68" t="s">
        <v>156</v>
      </c>
      <c r="D68" t="s">
        <v>43</v>
      </c>
    </row>
    <row r="69" spans="1:4" x14ac:dyDescent="0.3">
      <c r="A69" s="17" t="s">
        <v>125</v>
      </c>
      <c r="B69" s="13">
        <v>46333</v>
      </c>
      <c r="C69" t="s">
        <v>156</v>
      </c>
      <c r="D69" t="s">
        <v>43</v>
      </c>
    </row>
    <row r="70" spans="1:4" x14ac:dyDescent="0.3">
      <c r="A70" s="57" t="s">
        <v>158</v>
      </c>
      <c r="B70" s="13">
        <v>46334</v>
      </c>
      <c r="C70" t="s">
        <v>156</v>
      </c>
      <c r="D70" t="s">
        <v>43</v>
      </c>
    </row>
  </sheetData>
  <autoFilter ref="A1:D66" xr:uid="{7AC4105F-36DE-413B-8CE0-3469CE31C697}">
    <sortState xmlns:xlrd2="http://schemas.microsoft.com/office/spreadsheetml/2017/richdata2" ref="A2:D70">
      <sortCondition ref="B1:B66"/>
    </sortState>
  </autoFilter>
  <conditionalFormatting sqref="A2">
    <cfRule type="cellIs" dxfId="8" priority="2" operator="equal">
      <formula>"OFF"</formula>
    </cfRule>
  </conditionalFormatting>
  <conditionalFormatting sqref="A13">
    <cfRule type="cellIs" dxfId="7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workbookViewId="0">
      <selection sqref="A1:D1048576"/>
    </sheetView>
  </sheetViews>
  <sheetFormatPr defaultRowHeight="14.4" x14ac:dyDescent="0.3"/>
  <cols>
    <col min="1" max="1" width="28.6640625" style="11" bestFit="1" customWidth="1"/>
    <col min="2" max="2" width="15.33203125" style="13" customWidth="1"/>
    <col min="3" max="3" width="25.88671875" style="11" customWidth="1"/>
    <col min="4" max="4" width="16.6640625" bestFit="1" customWidth="1"/>
  </cols>
  <sheetData>
    <row r="1" spans="1:4" ht="16.8" x14ac:dyDescent="0.3">
      <c r="A1" s="42" t="s">
        <v>0</v>
      </c>
      <c r="B1" s="12" t="s">
        <v>154</v>
      </c>
      <c r="C1" s="10" t="s">
        <v>155</v>
      </c>
      <c r="D1" s="10" t="s">
        <v>13</v>
      </c>
    </row>
    <row r="2" spans="1:4" x14ac:dyDescent="0.3">
      <c r="A2" s="43" t="s">
        <v>58</v>
      </c>
      <c r="B2" s="13">
        <v>46315</v>
      </c>
      <c r="C2" s="11" t="s">
        <v>160</v>
      </c>
      <c r="D2" t="str">
        <f>VLOOKUP(A2,EST!A:N,14,FALSE)</f>
        <v>Anmecha Valencia</v>
      </c>
    </row>
    <row r="3" spans="1:4" x14ac:dyDescent="0.3">
      <c r="A3" s="11" t="s">
        <v>71</v>
      </c>
      <c r="B3" s="13">
        <v>46316</v>
      </c>
      <c r="C3" s="11" t="s">
        <v>161</v>
      </c>
      <c r="D3" t="str">
        <f>VLOOKUP(A3,EST!A:N,14,FALSE)</f>
        <v>Michael Dominguez</v>
      </c>
    </row>
    <row r="4" spans="1:4" x14ac:dyDescent="0.3">
      <c r="A4" s="17" t="s">
        <v>58</v>
      </c>
      <c r="B4" s="13">
        <v>46316</v>
      </c>
      <c r="C4" s="11" t="s">
        <v>162</v>
      </c>
      <c r="D4" t="str">
        <f>VLOOKUP(A4,EST!A:N,14,FALSE)</f>
        <v>Anmecha Valencia</v>
      </c>
    </row>
    <row r="5" spans="1:4" x14ac:dyDescent="0.3">
      <c r="A5" s="11" t="s">
        <v>95</v>
      </c>
      <c r="B5" s="13">
        <v>46316</v>
      </c>
      <c r="C5" s="11" t="s">
        <v>163</v>
      </c>
      <c r="D5" t="str">
        <f>VLOOKUP(A5,EST!A:N,14,FALSE)</f>
        <v>Christopher Rodas</v>
      </c>
    </row>
    <row r="6" spans="1:4" x14ac:dyDescent="0.3">
      <c r="A6" s="17" t="s">
        <v>24</v>
      </c>
      <c r="B6" s="13">
        <v>46318</v>
      </c>
      <c r="C6" s="11" t="s">
        <v>160</v>
      </c>
      <c r="D6" t="str">
        <f>VLOOKUP(A6,EST!A:N,14,FALSE)</f>
        <v>Manilyn Abellar</v>
      </c>
    </row>
    <row r="7" spans="1:4" x14ac:dyDescent="0.3">
      <c r="A7" s="17" t="s">
        <v>129</v>
      </c>
      <c r="B7" s="13">
        <v>46318</v>
      </c>
      <c r="C7" s="11" t="s">
        <v>160</v>
      </c>
      <c r="D7" t="str">
        <f>VLOOKUP(A7,EST!A:N,14,FALSE)</f>
        <v>Anmecha Valencia</v>
      </c>
    </row>
    <row r="8" spans="1:4" x14ac:dyDescent="0.3">
      <c r="A8" s="11" t="s">
        <v>114</v>
      </c>
      <c r="B8" s="13">
        <v>46319</v>
      </c>
      <c r="C8" s="11" t="s">
        <v>160</v>
      </c>
      <c r="D8" t="str">
        <f>_xlfn.IFNA(VLOOKUP(A8,EST!A:N,14,FALSE),"")</f>
        <v>Christopher Rodas</v>
      </c>
    </row>
    <row r="9" spans="1:4" x14ac:dyDescent="0.3">
      <c r="A9" s="11" t="s">
        <v>122</v>
      </c>
      <c r="B9" s="13">
        <v>46319</v>
      </c>
      <c r="C9" s="11" t="s">
        <v>160</v>
      </c>
      <c r="D9" t="str">
        <f>_xlfn.IFNA(VLOOKUP(A9,EST!A:N,14,FALSE),"")</f>
        <v>Anmecha Valencia</v>
      </c>
    </row>
    <row r="10" spans="1:4" x14ac:dyDescent="0.3">
      <c r="A10" s="11" t="s">
        <v>114</v>
      </c>
      <c r="B10" s="13">
        <v>46320</v>
      </c>
      <c r="C10" s="11" t="s">
        <v>160</v>
      </c>
      <c r="D10" t="str">
        <f>_xlfn.IFNA(VLOOKUP(A10,EST!A:N,14,FALSE),"")</f>
        <v>Christopher Rodas</v>
      </c>
    </row>
    <row r="11" spans="1:4" x14ac:dyDescent="0.3">
      <c r="A11" s="17" t="s">
        <v>127</v>
      </c>
      <c r="B11" s="13">
        <v>46320</v>
      </c>
      <c r="C11" s="11" t="s">
        <v>160</v>
      </c>
      <c r="D11" t="str">
        <f>_xlfn.IFNA(VLOOKUP(A11,EST!A:N,14,FALSE),"")</f>
        <v>Michael Dominguez</v>
      </c>
    </row>
    <row r="12" spans="1:4" x14ac:dyDescent="0.3">
      <c r="A12" s="17" t="s">
        <v>118</v>
      </c>
      <c r="B12" s="13">
        <v>46320</v>
      </c>
      <c r="C12" s="11" t="s">
        <v>160</v>
      </c>
      <c r="D12" t="str">
        <f>_xlfn.IFNA(VLOOKUP(A12,EST!A:N,14,FALSE),"")</f>
        <v>Christopher Rodas</v>
      </c>
    </row>
    <row r="13" spans="1:4" x14ac:dyDescent="0.3">
      <c r="A13" s="11" t="s">
        <v>122</v>
      </c>
      <c r="B13" s="13">
        <v>46320</v>
      </c>
      <c r="C13" s="11" t="s">
        <v>160</v>
      </c>
      <c r="D13" t="str">
        <f>_xlfn.IFNA(VLOOKUP(A13,EST!A:N,14,FALSE),"")</f>
        <v>Anmecha Valencia</v>
      </c>
    </row>
    <row r="14" spans="1:4" x14ac:dyDescent="0.3">
      <c r="A14" s="17" t="s">
        <v>46</v>
      </c>
      <c r="B14" s="13">
        <v>46321</v>
      </c>
      <c r="C14" s="11" t="s">
        <v>160</v>
      </c>
      <c r="D14" t="str">
        <f>_xlfn.IFNA(VLOOKUP(A14,EST!A:N,14,FALSE),"")</f>
        <v>Anmecha Valencia</v>
      </c>
    </row>
    <row r="15" spans="1:4" x14ac:dyDescent="0.3">
      <c r="A15" s="11" t="s">
        <v>114</v>
      </c>
      <c r="B15" s="13">
        <v>46321</v>
      </c>
      <c r="C15" s="11" t="s">
        <v>160</v>
      </c>
      <c r="D15" t="str">
        <f>_xlfn.IFNA(VLOOKUP(A15,EST!A:N,14,FALSE),"")</f>
        <v>Christopher Rodas</v>
      </c>
    </row>
    <row r="16" spans="1:4" x14ac:dyDescent="0.3">
      <c r="A16" s="17" t="s">
        <v>118</v>
      </c>
      <c r="B16" s="13">
        <v>46321</v>
      </c>
      <c r="C16" s="11" t="s">
        <v>160</v>
      </c>
      <c r="D16" t="str">
        <f>_xlfn.IFNA(VLOOKUP(A16,EST!A:N,14,FALSE),"")</f>
        <v>Christopher Rodas</v>
      </c>
    </row>
    <row r="17" spans="4:4" x14ac:dyDescent="0.3">
      <c r="D17" t="str">
        <f>_xlfn.IFNA(VLOOKUP(A17,EST!A:N,14,FALSE),"")</f>
        <v/>
      </c>
    </row>
    <row r="18" spans="4:4" x14ac:dyDescent="0.3">
      <c r="D18" t="str">
        <f>_xlfn.IFNA(VLOOKUP(A18,EST!A:N,14,FALSE),"")</f>
        <v/>
      </c>
    </row>
  </sheetData>
  <conditionalFormatting sqref="A2">
    <cfRule type="cellIs" dxfId="6" priority="8" operator="equal">
      <formula>"OFF"</formula>
    </cfRule>
  </conditionalFormatting>
  <conditionalFormatting sqref="A4">
    <cfRule type="cellIs" dxfId="5" priority="7" operator="equal">
      <formula>"OFF"</formula>
    </cfRule>
  </conditionalFormatting>
  <conditionalFormatting sqref="A6:A7">
    <cfRule type="cellIs" dxfId="4" priority="5" operator="equal">
      <formula>"OFF"</formula>
    </cfRule>
  </conditionalFormatting>
  <conditionalFormatting sqref="A11:A12">
    <cfRule type="cellIs" dxfId="3" priority="3" operator="equal">
      <formula>"OFF"</formula>
    </cfRule>
  </conditionalFormatting>
  <conditionalFormatting sqref="A14">
    <cfRule type="cellIs" dxfId="2" priority="2" operator="equal">
      <formula>"OFF"</formula>
    </cfRule>
  </conditionalFormatting>
  <conditionalFormatting sqref="A16">
    <cfRule type="cellIs" dxfId="1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>
      <selection activeCell="D23" sqref="D23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8226-A396-4006-89B3-F11456CFF637}">
  <dimension ref="A1:N2"/>
  <sheetViews>
    <sheetView workbookViewId="0"/>
  </sheetViews>
  <sheetFormatPr defaultRowHeight="14.4" x14ac:dyDescent="0.3"/>
  <cols>
    <col min="1" max="1" width="17.109375" bestFit="1" customWidth="1"/>
    <col min="2" max="2" width="7.88671875" bestFit="1" customWidth="1"/>
    <col min="3" max="3" width="8.109375" bestFit="1" customWidth="1"/>
    <col min="4" max="4" width="11.109375" bestFit="1" customWidth="1"/>
    <col min="5" max="8" width="12.44140625" bestFit="1" customWidth="1"/>
    <col min="9" max="9" width="14.88671875" bestFit="1" customWidth="1"/>
    <col min="10" max="11" width="7.5546875" bestFit="1" customWidth="1"/>
    <col min="12" max="12" width="6.44140625" bestFit="1" customWidth="1"/>
    <col min="13" max="13" width="7.5546875" bestFit="1" customWidth="1"/>
    <col min="14" max="14" width="17.88671875" bestFit="1" customWidth="1"/>
  </cols>
  <sheetData>
    <row r="1" spans="1:14" x14ac:dyDescent="0.3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59" t="s">
        <v>6</v>
      </c>
      <c r="H1" s="59" t="s">
        <v>7</v>
      </c>
      <c r="I1" s="59" t="s">
        <v>8</v>
      </c>
      <c r="J1" s="59" t="s">
        <v>9</v>
      </c>
      <c r="K1" s="59" t="s">
        <v>10</v>
      </c>
      <c r="L1" s="59" t="s">
        <v>11</v>
      </c>
      <c r="M1" s="59" t="s">
        <v>12</v>
      </c>
      <c r="N1" s="59" t="s">
        <v>13</v>
      </c>
    </row>
    <row r="2" spans="1:14" x14ac:dyDescent="0.3">
      <c r="A2" s="60" t="s">
        <v>63</v>
      </c>
      <c r="B2" s="25" t="s">
        <v>18</v>
      </c>
      <c r="C2" s="25" t="s">
        <v>18</v>
      </c>
      <c r="D2" s="25" t="s">
        <v>18</v>
      </c>
      <c r="E2" s="61" t="s">
        <v>22</v>
      </c>
      <c r="F2" s="61" t="s">
        <v>22</v>
      </c>
      <c r="G2" s="61" t="s">
        <v>22</v>
      </c>
      <c r="H2" s="61" t="s">
        <v>22</v>
      </c>
      <c r="I2" s="25" t="s">
        <v>33</v>
      </c>
      <c r="J2" s="27">
        <v>0.625</v>
      </c>
      <c r="K2" s="27">
        <v>0.71875</v>
      </c>
      <c r="L2" s="27">
        <v>0.8125</v>
      </c>
      <c r="M2" s="27">
        <v>0.9375</v>
      </c>
      <c r="N2" s="28" t="s">
        <v>43</v>
      </c>
    </row>
  </sheetData>
  <conditionalFormatting sqref="A2:I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EST</vt:lpstr>
      <vt:lpstr>PH</vt:lpstr>
      <vt:lpstr>EST_OLD</vt:lpstr>
      <vt:lpstr>PH_OLD</vt:lpstr>
      <vt:lpstr>PTO</vt:lpstr>
      <vt:lpstr>Called OFF</vt:lpstr>
      <vt:lpstr>NOTES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2026-10-31T00:35:09Z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